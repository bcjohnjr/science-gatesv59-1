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8153ddf67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41940f99434497a"/>
    <x:sheet xmlns:r="http://schemas.openxmlformats.org/officeDocument/2006/relationships" name="Ensemble" sheetId="2" r:id="Rc160de85d45a418a"/>
    <x:sheet xmlns:r="http://schemas.openxmlformats.org/officeDocument/2006/relationships" name="CDR_Cases" sheetId="3" r:id="Rf36e1b4b7ffb4801"/>
    <x:sheet xmlns:r="http://schemas.openxmlformats.org/officeDocument/2006/relationships" name="Collection_Stress" sheetId="4" r:id="R17bcd330da644f91"/>
    <x:sheet xmlns:r="http://schemas.openxmlformats.org/officeDocument/2006/relationships" name="Grid_Adequacy" sheetId="5" r:id="R5a09a19b540b44c6"/>
    <x:sheet xmlns:r="http://schemas.openxmlformats.org/officeDocument/2006/relationships" name="Grid_Materials" sheetId="6" r:id="R6f95075797644133"/>
    <x:sheet xmlns:r="http://schemas.openxmlformats.org/officeDocument/2006/relationships" name="Monetary_Stress" sheetId="7" r:id="Rcb28ee3ff1a74d1e"/>
    <x:sheet xmlns:r="http://schemas.openxmlformats.org/officeDocument/2006/relationships" name="Energy_Boundary" sheetId="8" r:id="R24870ad430f5489a"/>
    <x:sheet xmlns:r="http://schemas.openxmlformats.org/officeDocument/2006/relationships" name="External_Validation" sheetId="9" r:id="R36cb50f6dc834e86"/>
    <x:sheet xmlns:r="http://schemas.openxmlformats.org/officeDocument/2006/relationships" name="Joos_Diagnostic" sheetId="10" r:id="R22f9a79501f3473c"/>
    <x:sheet xmlns:r="http://schemas.openxmlformats.org/officeDocument/2006/relationships" name="Annual_State" sheetId="11" r:id="Ra270e773e08b4a93"/>
    <x:sheet xmlns:r="http://schemas.openxmlformats.org/officeDocument/2006/relationships" name="Read_Me" sheetId="12" r:id="Rc20fe836ce0e4efe"/>
    <x:sheet xmlns:r="http://schemas.openxmlformats.org/officeDocument/2006/relationships" name="Nature_Readiness" sheetId="13" r:id="R3a7cb8da65884d0f"/>
    <x:sheet xmlns:r="http://schemas.openxmlformats.org/officeDocument/2006/relationships" name="Econ_Replication" sheetId="14" r:id="R3b637b8459ec4c73"/>
    <x:sheet xmlns:r="http://schemas.openxmlformats.org/officeDocument/2006/relationships" name="Lineage_Register" sheetId="15" r:id="R384fb2bfe8c24c4e"/>
    <x:sheet xmlns:r="http://schemas.openxmlformats.org/officeDocument/2006/relationships" name="Energy_Reconcile" sheetId="16" r:id="Re3f0758cce3443f8"/>
    <x:sheet xmlns:r="http://schemas.openxmlformats.org/officeDocument/2006/relationships" name="Seaweed_SAF" sheetId="17" r:id="Re82b0260f32e42a4"/>
    <x:sheet xmlns:r="http://schemas.openxmlformats.org/officeDocument/2006/relationships" name="Grid_Harvester" sheetId="18" r:id="R8ea9332ef1ee4443"/>
    <x:sheet xmlns:r="http://schemas.openxmlformats.org/officeDocument/2006/relationships" name="CSP_HTL" sheetId="19" r:id="R525c87b3b350426d"/>
    <x:sheet xmlns:r="http://schemas.openxmlformats.org/officeDocument/2006/relationships" name="Seaweed_Food" sheetId="20" r:id="R9f5bae983093474c"/>
    <x:sheet xmlns:r="http://schemas.openxmlformats.org/officeDocument/2006/relationships" name="Wastewater_Energy" sheetId="21" r:id="R1b1c0ec10636404d"/>
    <x:sheet xmlns:r="http://schemas.openxmlformats.org/officeDocument/2006/relationships" name="Nutrient_Loops" sheetId="22" r:id="Rfadd22e28ef84c8b"/>
    <x:sheet xmlns:r="http://schemas.openxmlformats.org/officeDocument/2006/relationships" name="Tidal_Energy" sheetId="23" r:id="R31f6fa22f4764c5c"/>
    <x:sheet xmlns:r="http://schemas.openxmlformats.org/officeDocument/2006/relationships" name="Global_Maritime" sheetId="24" r:id="R772ada40c2724c30"/>
    <x:sheet xmlns:r="http://schemas.openxmlformats.org/officeDocument/2006/relationships" name="Storage_Portfolio" sheetId="25" r:id="Rb1a5da05944441ec"/>
    <x:sheet xmlns:r="http://schemas.openxmlformats.org/officeDocument/2006/relationships" name="Firm_Clean" sheetId="26" r:id="R5fad96f013d146df"/>
    <x:sheet xmlns:r="http://schemas.openxmlformats.org/officeDocument/2006/relationships" name="Shock_Resilience" sheetId="27" r:id="R10a7b84a32574345"/>
    <x:sheet xmlns:r="http://schemas.openxmlformats.org/officeDocument/2006/relationships" name="Tree_Wealth" sheetId="28" r:id="R99cefc4e11c24d0d"/>
    <x:sheet xmlns:r="http://schemas.openxmlformats.org/officeDocument/2006/relationships" name="National_Allocation" sheetId="29" r:id="R4f21b347f89a4753"/>
    <x:sheet xmlns:r="http://schemas.openxmlformats.org/officeDocument/2006/relationships" name="Country_Equalizer" sheetId="30" r:id="R4dca20d431b044c2"/>
    <x:sheet xmlns:r="http://schemas.openxmlformats.org/officeDocument/2006/relationships" name="Parallel_Settlement" sheetId="31" r:id="R65712ed03eec483b"/>
    <x:sheet xmlns:r="http://schemas.openxmlformats.org/officeDocument/2006/relationships" name="Sanctions_Governance" sheetId="32" r:id="Rf03805c5b39948ee"/>
    <x:sheet xmlns:r="http://schemas.openxmlformats.org/officeDocument/2006/relationships" name="Dollar_Transition" sheetId="33" r:id="R67a0d6ffdd674dd2"/>
    <x:sheet xmlns:r="http://schemas.openxmlformats.org/officeDocument/2006/relationships" name="No_New_Burden" sheetId="34" r:id="R31cf9a73b61141b8"/>
    <x:sheet xmlns:r="http://schemas.openxmlformats.org/officeDocument/2006/relationships" name="Food_Health_Budget" sheetId="35" r:id="R844f997f434c48bc"/>
    <x:sheet xmlns:r="http://schemas.openxmlformats.org/officeDocument/2006/relationships" name="AI_Data_Center" sheetId="36" r:id="R99821235fdb3482c"/>
    <x:sheet xmlns:r="http://schemas.openxmlformats.org/officeDocument/2006/relationships" name="Distributed_AI" sheetId="37" r:id="R0054e352297b4b39"/>
    <x:sheet xmlns:r="http://schemas.openxmlformats.org/officeDocument/2006/relationships" name="Cella_Archetype" sheetId="38" r:id="Rc43b2965d34d49f5"/>
    <x:sheet xmlns:r="http://schemas.openxmlformats.org/officeDocument/2006/relationships" name="Workforce_Transition" sheetId="39" r:id="R45ecd5b309da4e8a"/>
    <x:sheet xmlns:r="http://schemas.openxmlformats.org/officeDocument/2006/relationships" name="Cross_Border_Fee" sheetId="40" r:id="Rbd747cfe5ec84703"/>
    <x:sheet xmlns:r="http://schemas.openxmlformats.org/officeDocument/2006/relationships" name="Resource_Screens" sheetId="41" r:id="R50e872f55e8648cd"/>
    <x:sheet xmlns:r="http://schemas.openxmlformats.org/officeDocument/2006/relationships" name="Legacy_Sources" sheetId="42" r:id="R6a29776d489946ba"/>
    <x:sheet xmlns:r="http://schemas.openxmlformats.org/officeDocument/2006/relationships" name="V55_Climate" sheetId="43" r:id="Rd299efdbfe634191"/>
    <x:sheet xmlns:r="http://schemas.openxmlformats.org/officeDocument/2006/relationships" name="V55_Seaweed" sheetId="44" r:id="Rda8c1c33695245b5"/>
    <x:sheet xmlns:r="http://schemas.openxmlformats.org/officeDocument/2006/relationships" name="V55_Grid_Harvest" sheetId="45" r:id="R98d0a74d774a446b"/>
    <x:sheet xmlns:r="http://schemas.openxmlformats.org/officeDocument/2006/relationships" name="V55_Food_Hunger" sheetId="46" r:id="R4e4ee5577f174222"/>
    <x:sheet xmlns:r="http://schemas.openxmlformats.org/officeDocument/2006/relationships" name="V55_Population" sheetId="47" r:id="Rffa26d2633da43ce"/>
    <x:sheet xmlns:r="http://schemas.openxmlformats.org/officeDocument/2006/relationships" name="V55_Food_Logistics" sheetId="48" r:id="Rc65b0e6d7d454db9"/>
    <x:sheet xmlns:r="http://schemas.openxmlformats.org/officeDocument/2006/relationships" name="V55_Energy" sheetId="49" r:id="R862e13af7be54ead"/>
    <x:sheet xmlns:r="http://schemas.openxmlformats.org/officeDocument/2006/relationships" name="V55_Lineage" sheetId="50" r:id="R64cf51ec92784fd0"/>
    <x:sheet xmlns:r="http://schemas.openxmlformats.org/officeDocument/2006/relationships" name="V55_Sources" sheetId="51" r:id="Rd16f5811b64e4f8b"/>
    <x:sheet xmlns:r="http://schemas.openxmlformats.org/officeDocument/2006/relationships" name="V56_Seaweed" sheetId="52" r:id="R84a95daa214e4b8e"/>
    <x:sheet xmlns:r="http://schemas.openxmlformats.org/officeDocument/2006/relationships" name="V56_V53_Adverse" sheetId="53" r:id="R88dde28e07e641d7"/>
    <x:sheet xmlns:r="http://schemas.openxmlformats.org/officeDocument/2006/relationships" name="V56_Fisheries" sheetId="54" r:id="Re8377d0f8c5343f4"/>
    <x:sheet xmlns:r="http://schemas.openxmlformats.org/officeDocument/2006/relationships" name="V56_Human_Systems" sheetId="55" r:id="R130f50c433b84199"/>
    <x:sheet xmlns:r="http://schemas.openxmlformats.org/officeDocument/2006/relationships" name="V56_Population_Context" sheetId="56" r:id="R420c71a2b05b4d5e"/>
    <x:sheet xmlns:r="http://schemas.openxmlformats.org/officeDocument/2006/relationships" name="V56_Audit_Fixes" sheetId="57" r:id="R6aed1e3bac704467"/>
    <x:sheet xmlns:r="http://schemas.openxmlformats.org/officeDocument/2006/relationships" name="V57_Attribution" sheetId="58" r:id="Radc42eaa7f634c9c"/>
    <x:sheet xmlns:r="http://schemas.openxmlformats.org/officeDocument/2006/relationships" name="V57_Seaweed_Design" sheetId="59" r:id="R32bf01d5c4f94469"/>
    <x:sheet xmlns:r="http://schemas.openxmlformats.org/officeDocument/2006/relationships" name="V57_Seaweed_Economics" sheetId="60" r:id="R8e362c5c98c647e7"/>
    <x:sheet xmlns:r="http://schemas.openxmlformats.org/officeDocument/2006/relationships" name="V57_Ash_Fate" sheetId="61" r:id="R7e12b0c1255a4ce2"/>
    <x:sheet xmlns:r="http://schemas.openxmlformats.org/officeDocument/2006/relationships" name="V57_Protein" sheetId="62" r:id="R05a06baa7caf4650"/>
    <x:sheet xmlns:r="http://schemas.openxmlformats.org/officeDocument/2006/relationships" name="V57_Fisheries" sheetId="63" r:id="Re464ae0761bb4329"/>
    <x:sheet xmlns:r="http://schemas.openxmlformats.org/officeDocument/2006/relationships" name="V57_Supersession" sheetId="64" r:id="R6c14ecc99f9949ab"/>
    <x:sheet xmlns:r="http://schemas.openxmlformats.org/officeDocument/2006/relationships" name="V57_Sources" sheetId="65" r:id="Rb373538f3f1943ba"/>
    <x:sheet xmlns:r="http://schemas.openxmlformats.org/officeDocument/2006/relationships" name="V58_Coral_Reef" sheetId="66" r:id="R11c171ca0e04414f"/>
    <x:sheet xmlns:r="http://schemas.openxmlformats.org/officeDocument/2006/relationships" name="V58_GBR_State" sheetId="67" r:id="Rfa56a7c83e494923"/>
    <x:sheet xmlns:r="http://schemas.openxmlformats.org/officeDocument/2006/relationships" name="V58_Reef_Thermal_Gate" sheetId="68" r:id="R5636980ea1ad4e44"/>
    <x:sheet xmlns:r="http://schemas.openxmlformats.org/officeDocument/2006/relationships" name="V58_Sink_Response" sheetId="69" r:id="R0d3e4c7a473a4cc1"/>
    <x:sheet xmlns:r="http://schemas.openxmlformats.org/officeDocument/2006/relationships" name="V58_Rolling_Response" sheetId="70" r:id="Rb9e56398b398481f"/>
    <x:sheet xmlns:r="http://schemas.openxmlformats.org/officeDocument/2006/relationships" name="V58_Seaweed_Ash" sheetId="71" r:id="R01e8bd05827746d4"/>
    <x:sheet xmlns:r="http://schemas.openxmlformats.org/officeDocument/2006/relationships" name="V58_Durable_CDR" sheetId="72" r:id="R52b420d2fe354bd6"/>
    <x:sheet xmlns:r="http://schemas.openxmlformats.org/officeDocument/2006/relationships" name="V58_FaIR_Splice" sheetId="73" r:id="R1cd321ed666043a8"/>
    <x:sheet xmlns:r="http://schemas.openxmlformats.org/officeDocument/2006/relationships" name="V58_Sources" sheetId="74" r:id="Rc7f23fa461924843"/>
    <x:sheet xmlns:r="http://schemas.openxmlformats.org/officeDocument/2006/relationships" name="V59_Sea_Level" sheetId="75" r:id="Rb685d2ce788c4f3d"/>
    <x:sheet xmlns:r="http://schemas.openxmlformats.org/officeDocument/2006/relationships" name="V59_Sea_Level_Fall" sheetId="76" r:id="R01e21987e4bc4475"/>
    <x:sheet xmlns:r="http://schemas.openxmlformats.org/officeDocument/2006/relationships" name="V59_Sea_Level_Method" sheetId="77" r:id="R4f0b30101f754e8e"/>
    <x:sheet xmlns:r="http://schemas.openxmlformats.org/officeDocument/2006/relationships" name="V59_Ocean_pH" sheetId="78" r:id="R1ecdb6f4a7b049cf"/>
    <x:sheet xmlns:r="http://schemas.openxmlformats.org/officeDocument/2006/relationships" name="V59_Sources" sheetId="79" r:id="R2894e8b38b5f4e7c"/>
    <x:sheet xmlns:r="http://schemas.openxmlformats.org/officeDocument/2006/relationships" name="V59_1_Sink_Response" sheetId="80" r:id="R48c89b1d679c4d12"/>
    <x:sheet xmlns:r="http://schemas.openxmlformats.org/officeDocument/2006/relationships" name="V59_1_Sea_Level" sheetId="81" r:id="Rad57d55aa43f44dc"/>
    <x:sheet xmlns:r="http://schemas.openxmlformats.org/officeDocument/2006/relationships" name="V59_1_Ocean_pH" sheetId="82" r:id="R606bcc558ced4566"/>
    <x:sheet xmlns:r="http://schemas.openxmlformats.org/officeDocument/2006/relationships" name="V59_1_Scope_Freeze" sheetId="83" r:id="R0e00f49303b5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0"/>
    <x:numFmt numFmtId="203" formatCode="0.00"/>
    <x:numFmt numFmtId="204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404040"/>
      <x:name val="Carlito"/>
    </x:font>
    <x:font>
      <x:b/>
      <x:sz val="11"/>
      <x:color rgb="FF17365D"/>
      <x:name val="Carlito"/>
    </x:font>
    <x:font>
      <x:b/>
      <x:sz val="15"/>
      <x:color rgb="FF9C0006"/>
      <x:name val="Carlito"/>
    </x:font>
    <x:font>
      <x:b/>
      <x:i/>
      <x:sz val="11"/>
      <x:color rgb="FF9C0006"/>
      <x:name val="Carlito"/>
    </x:font>
    <x:font>
      <x:b/>
      <x:sz val="11"/>
      <x:color rgb="FF9C0006"/>
      <x:name val="Carlito"/>
    </x:font>
  </x:fonts>
  <x:fills count="5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  <x:fill>
      <x:patternFill patternType="solid">
        <x:fgColor rgb="FFA64D79"/>
      </x:patternFill>
    </x:fill>
    <x:fill>
      <x:patternFill patternType="solid">
        <x:fgColor rgb="FF70AD47"/>
      </x:patternFill>
    </x:fill>
    <x:fill>
      <x:patternFill patternType="solid">
        <x:fgColor rgb="FFBF9000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4472C4"/>
      </x:patternFill>
    </x:fill>
    <x:fill>
      <x:patternFill patternType="solid">
        <x:fgColor rgb="FF8064A2"/>
      </x:patternFill>
    </x:fill>
    <x:fill>
      <x:patternFill patternType="solid">
        <x:fgColor rgb="FFA64D79"/>
      </x:patternFill>
    </x:fill>
    <x:fill>
      <x:patternFill patternType="solid">
        <x:fgColor rgb="FFBF9000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4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vertical="center"/>
    </x:xf>
    <x:xf numFmtId="0" fontId="5" fillId="26" borderId="0" xfId="0" applyNumberFormat="1" applyFont="1" applyFill="1" applyBorder="1" applyAlignment="1">
      <x:alignment vertical="top" wrapText="1"/>
    </x:xf>
    <x:xf numFmtId="0" fontId="8" fillId="26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4" fillId="27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/>
    <x:xf numFmtId="0" fontId="0" fillId="26" borderId="0" xfId="0" applyNumberFormat="1" applyFont="1" applyFill="1" applyBorder="1"/>
    <x:xf numFmtId="0" fontId="9" fillId="26" borderId="0" xfId="0" applyNumberFormat="1" applyFont="1" applyFill="1" applyBorder="1"/>
    <x:xf numFmtId="0" fontId="9" fillId="26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6" fillId="30" borderId="0" xfId="0" applyNumberFormat="1" applyFont="1" applyFill="1" applyBorder="1"/>
    <x:xf numFmtId="0" fontId="6" fillId="3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" borderId="0" xfId="0" applyNumberFormat="1" applyFont="1" applyFill="1" applyBorder="1"/>
    <x:xf numFmtId="0" fontId="0" fillId="27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vertical="center" wrapText="1"/>
    </x:xf>
    <x:xf numFmtId="0" fontId="9" fillId="31" borderId="0" xfId="0" applyNumberFormat="1" applyFont="1" applyFill="1" applyBorder="1" applyAlignment="1">
      <x:alignment vertical="center" wrapText="1"/>
    </x:xf>
    <x:xf numFmtId="0" fontId="7" fillId="31" borderId="0" xfId="0" applyNumberFormat="1" applyFont="1" applyFill="1" applyBorder="1" applyAlignment="1">
      <x:alignment vertical="center" wrapText="1"/>
    </x:xf>
    <x:xf numFmtId="0" fontId="4" fillId="31" borderId="0" xfId="0" applyNumberFormat="1" applyFont="1" applyFill="1" applyBorder="1" applyAlignment="1">
      <x:alignment vertical="center"/>
    </x:xf>
    <x:xf numFmtId="0" fontId="7" fillId="31" borderId="0" xfId="0" applyNumberFormat="1" applyFont="1" applyFill="1" applyBorder="1" applyAlignment="1">
      <x:alignment vertical="center"/>
    </x:xf>
    <x:xf numFmtId="0" fontId="4" fillId="32" borderId="0" xfId="0" applyNumberFormat="1" applyFont="1" applyFill="1" applyBorder="1" applyAlignment="1">
      <x:alignment vertical="center" wrapText="1"/>
    </x:xf>
    <x:xf numFmtId="0" fontId="4" fillId="32" borderId="0" xfId="0" applyNumberFormat="1" applyFont="1" applyFill="1" applyBorder="1" applyAlignment="1">
      <x:alignment vertical="center"/>
    </x:xf>
    <x:xf numFmtId="0" fontId="8" fillId="31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wrapText="1"/>
    </x:xf>
    <x:xf numFmtId="0" fontId="2" fillId="34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6" fillId="34" borderId="0" xfId="0" applyNumberFormat="1" applyFont="1" applyFill="1" applyBorder="1" applyAlignment="1">
      <x:alignment wrapText="1"/>
    </x:xf>
    <x:xf numFmtId="0" fontId="6" fillId="34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6" fillId="35" borderId="0" xfId="0" applyNumberFormat="1" applyFont="1" applyFill="1" applyBorder="1" applyAlignment="1">
      <x:alignment wrapText="1"/>
    </x:xf>
    <x:xf numFmtId="0" fontId="6" fillId="3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9" fillId="31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203" fontId="0" fillId="35" borderId="0" xfId="0" applyNumberFormat="1" applyFont="1" applyFill="1" applyBorder="1"/>
    <x:xf numFmtId="0" fontId="6" fillId="35" borderId="0" xfId="0" applyNumberFormat="1" applyFont="1" applyFill="1" applyBorder="1"/>
    <x:xf numFmtId="203" fontId="6" fillId="35" borderId="0" xfId="0" applyNumberFormat="1" applyFont="1" applyFill="1" applyBorder="1"/>
    <x:xf numFmtId="203" fontId="6" fillId="35" borderId="0" xfId="0" applyNumberFormat="1" applyFont="1" applyFill="1" applyBorder="1" applyAlignment="1">
      <x:alignment wrapText="1"/>
    </x:xf>
    <x:xf numFmtId="203" fontId="6" fillId="35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4" fillId="32" borderId="0" xfId="0" applyNumberFormat="1" applyFont="1" applyFill="1" applyBorder="1"/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0" fillId="31" borderId="0" xfId="0" applyNumberFormat="1" applyFont="1" applyFill="1" applyBorder="1"/>
    <x:xf numFmtId="0" fontId="9" fillId="31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 wrapText="1"/>
    </x:xf>
    <x:xf numFmtId="0" fontId="9" fillId="26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wrapText="1"/>
    </x:xf>
    <x:xf numFmtId="0" fontId="6" fillId="24" borderId="0" xfId="0" applyNumberFormat="1" applyFont="1" applyFill="1" applyBorder="1"/>
    <x:xf numFmtId="203" fontId="0" fillId="3" borderId="0" xfId="0" applyNumberFormat="1" applyFont="1" applyFill="1" applyBorder="1"/>
    <x:xf numFmtId="203" fontId="6" fillId="3" borderId="0" xfId="0" applyNumberFormat="1" applyFont="1" applyFill="1" applyBorder="1"/>
    <x:xf numFmtId="203" fontId="6" fillId="3" borderId="0" xfId="0" applyNumberFormat="1" applyFont="1" applyFill="1" applyBorder="1" applyAlignment="1">
      <x:alignment wrapText="1"/>
    </x:xf>
    <x:xf numFmtId="203" fontId="6" fillId="3" borderId="0" xfId="0" applyNumberFormat="1" applyFont="1" applyFill="1" applyBorder="1" applyAlignment="1">
      <x:alignment vertical="center" wrapText="1"/>
    </x:xf>
    <x:xf numFmtId="0" fontId="4" fillId="37" borderId="0" xfId="0" applyNumberFormat="1" applyFont="1" applyFill="1" applyBorder="1" applyAlignment="1">
      <x:alignment vertical="center" wrapText="1"/>
    </x:xf>
    <x:xf numFmtId="0" fontId="4" fillId="37" borderId="0" xfId="0" applyNumberFormat="1" applyFont="1" applyFill="1" applyBorder="1" applyAlignment="1">
      <x:alignment vertical="center"/>
    </x:xf>
    <x:xf numFmtId="0" fontId="8" fillId="38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wrapText="1"/>
    </x:xf>
    <x:xf numFmtId="0" fontId="6" fillId="40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9" fillId="38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0" fillId="41" borderId="0" xfId="0" applyNumberFormat="1" applyFont="1" applyFill="1" applyBorder="1"/>
    <x:xf numFmtId="0" fontId="6" fillId="41" borderId="0" xfId="0" applyNumberFormat="1" applyFont="1" applyFill="1" applyBorder="1"/>
    <x:xf numFmtId="0" fontId="6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4" fillId="43" borderId="0" xfId="0" applyNumberFormat="1" applyFont="1" applyFill="1" applyBorder="1" applyAlignment="1">
      <x:alignment vertical="center"/>
    </x:xf>
    <x:xf numFmtId="0" fontId="7" fillId="43" borderId="0" xfId="0" applyNumberFormat="1" applyFont="1" applyFill="1" applyBorder="1" applyAlignment="1">
      <x:alignment vertical="center"/>
    </x:xf>
    <x:xf numFmtId="0" fontId="7" fillId="43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9" fillId="43" borderId="0" xfId="0" applyNumberFormat="1" applyFont="1" applyFill="1" applyBorder="1" applyAlignment="1">
      <x:alignment wrapText="1"/>
    </x:xf>
    <x:xf numFmtId="0" fontId="4" fillId="44" borderId="0" xfId="0" applyNumberFormat="1" applyFont="1" applyFill="1" applyBorder="1" applyAlignment="1">
      <x:alignment vertical="center" wrapText="1"/>
    </x:xf>
    <x:xf numFmtId="0" fontId="4" fillId="44" borderId="0" xfId="0" applyNumberFormat="1" applyFont="1" applyFill="1" applyBorder="1" applyAlignment="1">
      <x:alignment vertical="center"/>
    </x:xf>
    <x:xf numFmtId="0" fontId="8" fillId="43" borderId="0" xfId="0" applyNumberFormat="1" applyFont="1" applyFill="1" applyBorder="1" applyAlignment="1">
      <x:alignment vertical="top" wrapText="1"/>
    </x:xf>
    <x:xf numFmtId="0" fontId="3" fillId="45" borderId="0" xfId="0" applyNumberFormat="1" applyFont="1" applyFill="1" applyBorder="1" applyAlignment="1">
      <x:alignment wrapText="1"/>
    </x:xf>
    <x:xf numFmtId="0" fontId="6" fillId="46" borderId="0" xfId="0" applyNumberFormat="1" applyFont="1" applyFill="1" applyBorder="1" applyAlignment="1">
      <x:alignment wrapText="1"/>
    </x:xf>
    <x:xf numFmtId="0" fontId="6" fillId="47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4" fillId="44" borderId="0" xfId="0" applyNumberFormat="1" applyFont="1" applyFill="1" applyBorder="1"/>
    <x:xf numFmtId="0" fontId="0" fillId="48" borderId="0" xfId="0" applyNumberFormat="1" applyFont="1" applyFill="1" applyBorder="1"/>
    <x:xf numFmtId="0" fontId="5" fillId="48" borderId="0" xfId="0" applyNumberFormat="1" applyFont="1" applyFill="1" applyBorder="1"/>
    <x:xf numFmtId="0" fontId="5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6" fillId="47" borderId="0" xfId="0" applyNumberFormat="1" applyFont="1" applyFill="1" applyBorder="1"/>
    <x:xf numFmtId="0" fontId="6" fillId="47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3" fillId="45" borderId="0" xfId="0" applyNumberFormat="1" applyFont="1" applyFill="1" applyBorder="1"/>
    <x:xf numFmtId="0" fontId="4" fillId="49" borderId="0" xfId="0" applyNumberFormat="1" applyFont="1" applyFill="1" applyBorder="1" applyAlignment="1">
      <x:alignment vertical="center"/>
    </x:xf>
    <x:xf numFmtId="0" fontId="7" fillId="49" borderId="0" xfId="0" applyNumberFormat="1" applyFont="1" applyFill="1" applyBorder="1" applyAlignment="1">
      <x:alignment vertical="center"/>
    </x:xf>
    <x:xf numFmtId="0" fontId="7" fillId="49" borderId="0" xfId="0" applyNumberFormat="1" applyFont="1" applyFill="1" applyBorder="1" applyAlignment="1">
      <x:alignment vertical="center" wrapText="1"/>
    </x:xf>
    <x:xf numFmtId="0" fontId="4" fillId="50" borderId="0" xfId="0" applyNumberFormat="1" applyFont="1" applyFill="1" applyBorder="1" applyAlignment="1">
      <x:alignment vertical="center" wrapText="1"/>
    </x:xf>
    <x:xf numFmtId="0" fontId="4" fillId="50" borderId="0" xfId="0" applyNumberFormat="1" applyFont="1" applyFill="1" applyBorder="1" applyAlignment="1">
      <x:alignment vertical="center"/>
    </x:xf>
    <x:xf numFmtId="0" fontId="8" fillId="49" borderId="0" xfId="0" applyNumberFormat="1" applyFont="1" applyFill="1" applyBorder="1" applyAlignment="1">
      <x:alignment vertical="top" wrapText="1"/>
    </x:xf>
    <x:xf numFmtId="0" fontId="3" fillId="51" borderId="0" xfId="0" applyNumberFormat="1" applyFont="1" applyFill="1" applyBorder="1" applyAlignment="1">
      <x:alignment wrapText="1"/>
    </x:xf>
    <x:xf numFmtId="0" fontId="6" fillId="52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4" fillId="50" borderId="0" xfId="0" applyNumberFormat="1" applyFont="1" applyFill="1" applyBorder="1"/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6" fillId="54" borderId="0" xfId="0" applyNumberFormat="1" applyFont="1" applyFill="1" applyBorder="1"/>
    <x:xf numFmtId="0" fontId="6" fillId="54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9" fillId="49" borderId="0" xfId="0" applyNumberFormat="1" applyFont="1" applyFill="1" applyBorder="1"/>
    <x:xf numFmtId="0" fontId="9" fillId="49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6" fillId="5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50697c2084dcb" /><Relationship Type="http://schemas.openxmlformats.org/officeDocument/2006/relationships/theme" Target="/xl/theme/theme1.xml" Id="R90a78accc4314946" /><Relationship Type="http://schemas.microsoft.com/office/2022/11/relationships/FeaturePropertyBag" Target="/xl/featurePropertyBag/featurePropertyBag.xml" Id="Rb7649c6ee063494e" /><Relationship Type="http://schemas.openxmlformats.org/officeDocument/2006/relationships/sharedStrings" Target="/xl/sharedStrings.xml" Id="R7202ada0fc96411c" /><Relationship Type="http://schemas.openxmlformats.org/officeDocument/2006/relationships/worksheet" Target="/xl/worksheets/sheet1.xml" Id="R041940f99434497a" /><Relationship Type="http://schemas.openxmlformats.org/officeDocument/2006/relationships/worksheet" Target="/xl/worksheets/sheet2.xml" Id="Rc160de85d45a418a" /><Relationship Type="http://schemas.openxmlformats.org/officeDocument/2006/relationships/worksheet" Target="/xl/worksheets/sheet3.xml" Id="Rf36e1b4b7ffb4801" /><Relationship Type="http://schemas.openxmlformats.org/officeDocument/2006/relationships/worksheet" Target="/xl/worksheets/sheet4.xml" Id="R17bcd330da644f91" /><Relationship Type="http://schemas.openxmlformats.org/officeDocument/2006/relationships/worksheet" Target="/xl/worksheets/sheet5.xml" Id="R5a09a19b540b44c6" /><Relationship Type="http://schemas.openxmlformats.org/officeDocument/2006/relationships/worksheet" Target="/xl/worksheets/sheet6.xml" Id="R6f95075797644133" /><Relationship Type="http://schemas.openxmlformats.org/officeDocument/2006/relationships/worksheet" Target="/xl/worksheets/sheet7.xml" Id="Rcb28ee3ff1a74d1e" /><Relationship Type="http://schemas.openxmlformats.org/officeDocument/2006/relationships/worksheet" Target="/xl/worksheets/sheet8.xml" Id="R24870ad430f5489a" /><Relationship Type="http://schemas.openxmlformats.org/officeDocument/2006/relationships/worksheet" Target="/xl/worksheets/sheet9.xml" Id="R36cb50f6dc834e86" /><Relationship Type="http://schemas.openxmlformats.org/officeDocument/2006/relationships/worksheet" Target="/xl/worksheets/sheet10.xml" Id="R22f9a79501f3473c" /><Relationship Type="http://schemas.openxmlformats.org/officeDocument/2006/relationships/worksheet" Target="/xl/worksheets/sheet11.xml" Id="Ra270e773e08b4a93" /><Relationship Type="http://schemas.openxmlformats.org/officeDocument/2006/relationships/worksheet" Target="/xl/worksheets/sheet12.xml" Id="Rc20fe836ce0e4efe" /><Relationship Type="http://schemas.openxmlformats.org/officeDocument/2006/relationships/worksheet" Target="/xl/worksheets/sheet13.xml" Id="R3a7cb8da65884d0f" /><Relationship Type="http://schemas.openxmlformats.org/officeDocument/2006/relationships/worksheet" Target="/xl/worksheets/sheet14.xml" Id="R3b637b8459ec4c73" /><Relationship Type="http://schemas.openxmlformats.org/officeDocument/2006/relationships/worksheet" Target="/xl/worksheets/sheet15.xml" Id="R384fb2bfe8c24c4e" /><Relationship Type="http://schemas.openxmlformats.org/officeDocument/2006/relationships/worksheet" Target="/xl/worksheets/sheet16.xml" Id="Re3f0758cce3443f8" /><Relationship Type="http://schemas.openxmlformats.org/officeDocument/2006/relationships/worksheet" Target="/xl/worksheets/sheet17.xml" Id="Re82b0260f32e42a4" /><Relationship Type="http://schemas.openxmlformats.org/officeDocument/2006/relationships/worksheet" Target="/xl/worksheets/sheet18.xml" Id="R8ea9332ef1ee4443" /><Relationship Type="http://schemas.openxmlformats.org/officeDocument/2006/relationships/worksheet" Target="/xl/worksheets/sheet19.xml" Id="R525c87b3b350426d" /><Relationship Type="http://schemas.openxmlformats.org/officeDocument/2006/relationships/worksheet" Target="/xl/worksheets/sheet20.xml" Id="R9f5bae983093474c" /><Relationship Type="http://schemas.openxmlformats.org/officeDocument/2006/relationships/worksheet" Target="/xl/worksheets/sheet21.xml" Id="R1b1c0ec10636404d" /><Relationship Type="http://schemas.openxmlformats.org/officeDocument/2006/relationships/worksheet" Target="/xl/worksheets/sheet22.xml" Id="Rfadd22e28ef84c8b" /><Relationship Type="http://schemas.openxmlformats.org/officeDocument/2006/relationships/worksheet" Target="/xl/worksheets/sheet23.xml" Id="R31f6fa22f4764c5c" /><Relationship Type="http://schemas.openxmlformats.org/officeDocument/2006/relationships/worksheet" Target="/xl/worksheets/sheet24.xml" Id="R772ada40c2724c30" /><Relationship Type="http://schemas.openxmlformats.org/officeDocument/2006/relationships/worksheet" Target="/xl/worksheets/sheet25.xml" Id="Rb1a5da05944441ec" /><Relationship Type="http://schemas.openxmlformats.org/officeDocument/2006/relationships/worksheet" Target="/xl/worksheets/sheet26.xml" Id="R5fad96f013d146df" /><Relationship Type="http://schemas.openxmlformats.org/officeDocument/2006/relationships/worksheet" Target="/xl/worksheets/sheet27.xml" Id="R10a7b84a32574345" /><Relationship Type="http://schemas.openxmlformats.org/officeDocument/2006/relationships/worksheet" Target="/xl/worksheets/sheet28.xml" Id="R99cefc4e11c24d0d" /><Relationship Type="http://schemas.openxmlformats.org/officeDocument/2006/relationships/worksheet" Target="/xl/worksheets/sheet29.xml" Id="R4f21b347f89a4753" /><Relationship Type="http://schemas.openxmlformats.org/officeDocument/2006/relationships/worksheet" Target="/xl/worksheets/sheet30.xml" Id="R4dca20d431b044c2" /><Relationship Type="http://schemas.openxmlformats.org/officeDocument/2006/relationships/worksheet" Target="/xl/worksheets/sheet31.xml" Id="R65712ed03eec483b" /><Relationship Type="http://schemas.openxmlformats.org/officeDocument/2006/relationships/worksheet" Target="/xl/worksheets/sheet32.xml" Id="Rf03805c5b39948ee" /><Relationship Type="http://schemas.openxmlformats.org/officeDocument/2006/relationships/worksheet" Target="/xl/worksheets/sheet33.xml" Id="R67a0d6ffdd674dd2" /><Relationship Type="http://schemas.openxmlformats.org/officeDocument/2006/relationships/worksheet" Target="/xl/worksheets/sheet34.xml" Id="R31cf9a73b61141b8" /><Relationship Type="http://schemas.openxmlformats.org/officeDocument/2006/relationships/worksheet" Target="/xl/worksheets/sheet35.xml" Id="R844f997f434c48bc" /><Relationship Type="http://schemas.openxmlformats.org/officeDocument/2006/relationships/worksheet" Target="/xl/worksheets/sheet36.xml" Id="R99821235fdb3482c" /><Relationship Type="http://schemas.openxmlformats.org/officeDocument/2006/relationships/worksheet" Target="/xl/worksheets/sheet37.xml" Id="R0054e352297b4b39" /><Relationship Type="http://schemas.openxmlformats.org/officeDocument/2006/relationships/worksheet" Target="/xl/worksheets/sheet38.xml" Id="Rc43b2965d34d49f5" /><Relationship Type="http://schemas.openxmlformats.org/officeDocument/2006/relationships/worksheet" Target="/xl/worksheets/sheet39.xml" Id="R45ecd5b309da4e8a" /><Relationship Type="http://schemas.openxmlformats.org/officeDocument/2006/relationships/worksheet" Target="/xl/worksheets/sheet40.xml" Id="Rbd747cfe5ec84703" /><Relationship Type="http://schemas.openxmlformats.org/officeDocument/2006/relationships/worksheet" Target="/xl/worksheets/sheet41.xml" Id="R50e872f55e8648cd" /><Relationship Type="http://schemas.openxmlformats.org/officeDocument/2006/relationships/worksheet" Target="/xl/worksheets/sheet42.xml" Id="R6a29776d489946ba" /><Relationship Type="http://schemas.openxmlformats.org/officeDocument/2006/relationships/worksheet" Target="/xl/worksheets/sheet43.xml" Id="Rd299efdbfe634191" /><Relationship Type="http://schemas.openxmlformats.org/officeDocument/2006/relationships/worksheet" Target="/xl/worksheets/sheet44.xml" Id="Rda8c1c33695245b5" /><Relationship Type="http://schemas.openxmlformats.org/officeDocument/2006/relationships/worksheet" Target="/xl/worksheets/sheet45.xml" Id="R98d0a74d774a446b" /><Relationship Type="http://schemas.openxmlformats.org/officeDocument/2006/relationships/worksheet" Target="/xl/worksheets/sheet46.xml" Id="R4e4ee5577f174222" /><Relationship Type="http://schemas.openxmlformats.org/officeDocument/2006/relationships/worksheet" Target="/xl/worksheets/sheet47.xml" Id="Rffa26d2633da43ce" /><Relationship Type="http://schemas.openxmlformats.org/officeDocument/2006/relationships/worksheet" Target="/xl/worksheets/sheet48.xml" Id="Rc65b0e6d7d454db9" /><Relationship Type="http://schemas.openxmlformats.org/officeDocument/2006/relationships/worksheet" Target="/xl/worksheets/sheet49.xml" Id="R862e13af7be54ead" /><Relationship Type="http://schemas.openxmlformats.org/officeDocument/2006/relationships/worksheet" Target="/xl/worksheets/sheet50.xml" Id="R64cf51ec92784fd0" /><Relationship Type="http://schemas.openxmlformats.org/officeDocument/2006/relationships/worksheet" Target="/xl/worksheets/sheet51.xml" Id="Rd16f5811b64e4f8b" /><Relationship Type="http://schemas.openxmlformats.org/officeDocument/2006/relationships/worksheet" Target="/xl/worksheets/sheet52.xml" Id="R84a95daa214e4b8e" /><Relationship Type="http://schemas.openxmlformats.org/officeDocument/2006/relationships/worksheet" Target="/xl/worksheets/sheet53.xml" Id="R88dde28e07e641d7" /><Relationship Type="http://schemas.openxmlformats.org/officeDocument/2006/relationships/worksheet" Target="/xl/worksheets/sheet54.xml" Id="Re8377d0f8c5343f4" /><Relationship Type="http://schemas.openxmlformats.org/officeDocument/2006/relationships/worksheet" Target="/xl/worksheets/sheet55.xml" Id="R130f50c433b84199" /><Relationship Type="http://schemas.openxmlformats.org/officeDocument/2006/relationships/worksheet" Target="/xl/worksheets/sheet56.xml" Id="R420c71a2b05b4d5e" /><Relationship Type="http://schemas.openxmlformats.org/officeDocument/2006/relationships/worksheet" Target="/xl/worksheets/sheet57.xml" Id="R6aed1e3bac704467" /><Relationship Type="http://schemas.openxmlformats.org/officeDocument/2006/relationships/worksheet" Target="/xl/worksheets/sheet58.xml" Id="Radc42eaa7f634c9c" /><Relationship Type="http://schemas.openxmlformats.org/officeDocument/2006/relationships/worksheet" Target="/xl/worksheets/sheet59.xml" Id="R32bf01d5c4f94469" /><Relationship Type="http://schemas.openxmlformats.org/officeDocument/2006/relationships/worksheet" Target="/xl/worksheets/sheet60.xml" Id="R8e362c5c98c647e7" /><Relationship Type="http://schemas.openxmlformats.org/officeDocument/2006/relationships/worksheet" Target="/xl/worksheets/sheet61.xml" Id="R7e12b0c1255a4ce2" /><Relationship Type="http://schemas.openxmlformats.org/officeDocument/2006/relationships/worksheet" Target="/xl/worksheets/sheet62.xml" Id="R05a06baa7caf4650" /><Relationship Type="http://schemas.openxmlformats.org/officeDocument/2006/relationships/worksheet" Target="/xl/worksheets/sheet63.xml" Id="Re464ae0761bb4329" /><Relationship Type="http://schemas.openxmlformats.org/officeDocument/2006/relationships/worksheet" Target="/xl/worksheets/sheet64.xml" Id="R6c14ecc99f9949ab" /><Relationship Type="http://schemas.openxmlformats.org/officeDocument/2006/relationships/worksheet" Target="/xl/worksheets/sheet65.xml" Id="Rb373538f3f1943ba" /><Relationship Type="http://schemas.openxmlformats.org/officeDocument/2006/relationships/worksheet" Target="/xl/worksheets/sheet66.xml" Id="R11c171ca0e04414f" /><Relationship Type="http://schemas.openxmlformats.org/officeDocument/2006/relationships/worksheet" Target="/xl/worksheets/sheet67.xml" Id="Rfa56a7c83e494923" /><Relationship Type="http://schemas.openxmlformats.org/officeDocument/2006/relationships/worksheet" Target="/xl/worksheets/sheet68.xml" Id="R5636980ea1ad4e44" /><Relationship Type="http://schemas.openxmlformats.org/officeDocument/2006/relationships/worksheet" Target="/xl/worksheets/sheet69.xml" Id="R0d3e4c7a473a4cc1" /><Relationship Type="http://schemas.openxmlformats.org/officeDocument/2006/relationships/worksheet" Target="/xl/worksheets/sheet70.xml" Id="Rb9e56398b398481f" /><Relationship Type="http://schemas.openxmlformats.org/officeDocument/2006/relationships/worksheet" Target="/xl/worksheets/sheet71.xml" Id="R01e8bd05827746d4" /><Relationship Type="http://schemas.openxmlformats.org/officeDocument/2006/relationships/worksheet" Target="/xl/worksheets/sheet72.xml" Id="R52b420d2fe354bd6" /><Relationship Type="http://schemas.openxmlformats.org/officeDocument/2006/relationships/worksheet" Target="/xl/worksheets/sheet73.xml" Id="R1cd321ed666043a8" /><Relationship Type="http://schemas.openxmlformats.org/officeDocument/2006/relationships/worksheet" Target="/xl/worksheets/sheet74.xml" Id="Rc7f23fa461924843" /><Relationship Type="http://schemas.openxmlformats.org/officeDocument/2006/relationships/worksheet" Target="/xl/worksheets/sheet75.xml" Id="Rb685d2ce788c4f3d" /><Relationship Type="http://schemas.openxmlformats.org/officeDocument/2006/relationships/worksheet" Target="/xl/worksheets/sheet76.xml" Id="R01e21987e4bc4475" /><Relationship Type="http://schemas.openxmlformats.org/officeDocument/2006/relationships/worksheet" Target="/xl/worksheets/sheet77.xml" Id="R4f0b30101f754e8e" /><Relationship Type="http://schemas.openxmlformats.org/officeDocument/2006/relationships/worksheet" Target="/xl/worksheets/sheet78.xml" Id="R1ecdb6f4a7b049cf" /><Relationship Type="http://schemas.openxmlformats.org/officeDocument/2006/relationships/worksheet" Target="/xl/worksheets/sheet79.xml" Id="R2894e8b38b5f4e7c" /><Relationship Type="http://schemas.openxmlformats.org/officeDocument/2006/relationships/worksheet" Target="/xl/worksheets/sheet80.xml" Id="R48c89b1d679c4d12" /><Relationship Type="http://schemas.openxmlformats.org/officeDocument/2006/relationships/worksheet" Target="/xl/worksheets/sheet81.xml" Id="Rad57d55aa43f44dc" /><Relationship Type="http://schemas.openxmlformats.org/officeDocument/2006/relationships/worksheet" Target="/xl/worksheets/sheet82.xml" Id="R606bcc558ced4566" /><Relationship Type="http://schemas.openxmlformats.org/officeDocument/2006/relationships/worksheet" Target="/xl/worksheets/sheet83.xml" Id="R0e00f49303b542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f377216b14445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39ef508738b432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ca113f8595442f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3eb57a45d41421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4823f9dc79546e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bc21ac58ecb940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V55 integrated population screen by seaweed-food allocation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food_share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'V55_Population'!$B$6:$B$8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seaweed_food_dry_mt_yr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'V55_Population'!$C$6:$C$8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seaweed_full_diet_equivalent_billion_people_at_2350_kcal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'V55_Population'!$D$6:$D$8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evidence_anchored_food_capacity_billion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'V55_Population'!$E$6:$E$8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energy_only_capacity_billion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'V55_Population'!$F$6:$F$8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Pathwise apparent atmospheric response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'V57_Attribution'!$A$18:$A$22</c:f>
              <c:strCache>
                <c:ptCount val="0"/>
              </c:strCache>
            </c:strRef>
          </c:cat>
          <c:val>
            <c:numRef>
              <c:f>'V57_Attribution'!$B$18:$B$22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'V57_Attribution'!$A$18:$A$22</c:f>
              <c:strCache>
                <c:ptCount val="0"/>
              </c:strCache>
            </c:strRef>
          </c:cat>
          <c:val>
            <c:numRef>
              <c:f>'V57_Attribution'!$C$18:$C$22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'V57_Attribution'!$A$18:$A$22</c:f>
              <c:strCache>
                <c:ptCount val="0"/>
              </c:strCache>
            </c:strRef>
          </c:cat>
          <c:val>
            <c:numRef>
              <c:f>'V57_Attribution'!$D$18:$D$22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'V57_Attribution'!$A$18:$A$22</c:f>
              <c:strCache>
                <c:ptCount val="0"/>
              </c:strCache>
            </c:strRef>
          </c:cat>
          <c:val>
            <c:numRef>
              <c:f>'V57_Attribution'!$E$18:$E$22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GBR hard-coral cover, 2024–2026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hard_coral_cover_2024_pct</c:v>
          </c:tx>
          <c:marker>
            <c:symbol val="none"/>
          </c:marker>
          <c:cat>
            <c:strRef>
              <c:f>'V58_GBR_State'!$A$5:$A$7</c:f>
              <c:strCache>
                <c:ptCount val="0"/>
              </c:strCache>
            </c:strRef>
          </c:cat>
          <c:val>
            <c:numRef>
              <c:f>'V58_GBR_State'!$B$5:$B$7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hard_coral_cover_2025_pct</c:v>
          </c:tx>
          <c:marker>
            <c:symbol val="none"/>
          </c:marker>
          <c:cat>
            <c:strRef>
              <c:f>'V58_GBR_State'!$A$5:$A$7</c:f>
              <c:strCache>
                <c:ptCount val="0"/>
              </c:strCache>
            </c:strRef>
          </c:cat>
          <c:val>
            <c:numRef>
              <c:f>'V58_GBR_State'!$C$5:$C$7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hard_coral_cover_2026_pct</c:v>
          </c:tx>
          <c:marker>
            <c:symbol val="none"/>
          </c:marker>
          <c:cat>
            <c:strRef>
              <c:f>'V58_GBR_State'!$A$5:$A$7</c:f>
              <c:strCache>
                <c:ptCount val="0"/>
              </c:strCache>
            </c:strRef>
          </c:cat>
          <c:val>
            <c:numRef>
              <c:f>'V58_GBR_State'!$D$5:$D$7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CO₂ drawdown vs net removal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fair_p50_cumulative_drawdown_ppm</c:v>
          </c:tx>
          <c:marker>
            <c:symbol val="none"/>
          </c:marker>
          <c:cat>
            <c:strRef>
              <c:f>'V58_Sink_Response'!$C$6:$C$20</c:f>
              <c:strCache>
                <c:ptCount val="0"/>
              </c:strCache>
            </c:strRef>
          </c:cat>
          <c:val>
            <c:numRef>
              <c:f>'V58_Sink_Response'!$D$6:$D$20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Additional global mean sea level since 2026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FaIR temperature quantile</c:v>
          </c:tx>
          <c:marker>
            <c:symbol val="none"/>
          </c:marker>
          <c:cat>
            <c:strRef>
              <c:f>'V59_Sea_Level'!$A$6:$A$23</c:f>
              <c:strCache>
                <c:ptCount val="0"/>
              </c:strCache>
            </c:strRef>
          </c:cat>
          <c:val>
            <c:numRef>
              <c:f>'V59_Sea_Level'!$B$6:$B$23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year</c:v>
          </c:tx>
          <c:marker>
            <c:symbol val="none"/>
          </c:marker>
          <c:cat>
            <c:strRef>
              <c:f>'V59_Sea_Level'!$A$6:$A$23</c:f>
              <c:strCache>
                <c:ptCount val="0"/>
              </c:strCache>
            </c:strRef>
          </c:cat>
          <c:val>
            <c:numRef>
              <c:f>'V59_Sea_Level'!$C$6:$C$23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additional GMSL since 2026 (m)</c:v>
          </c:tx>
          <c:marker>
            <c:symbol val="none"/>
          </c:marker>
          <c:cat>
            <c:strRef>
              <c:f>'V59_Sea_Level'!$A$6:$A$23</c:f>
              <c:strCache>
                <c:ptCount val="0"/>
              </c:strCache>
            </c:strRef>
          </c:cat>
          <c:val>
            <c:numRef>
              <c:f>'V59_Sea_Level'!$D$6:$D$23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GMSL rate (mm/yr)</c:v>
          </c:tx>
          <c:marker>
            <c:symbol val="none"/>
          </c:marker>
          <c:cat>
            <c:strRef>
              <c:f>'V59_Sea_Level'!$A$6:$A$23</c:f>
              <c:strCache>
                <c:ptCount val="0"/>
              </c:strCache>
            </c:strRef>
          </c:cat>
          <c:val>
            <c:numRef>
              <c:f>'V59_Sea_Level'!$E$6:$E$23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FaIR-driven surface-ocean pH recovery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surface pH with OAE</c:v>
          </c:tx>
          <c:marker>
            <c:symbol val="none"/>
          </c:marker>
          <c:cat>
            <c:strRef>
              <c:f>'V59_Ocean_pH'!$A$18:$A$40</c:f>
              <c:strCache>
                <c:ptCount val="0"/>
              </c:strCache>
            </c:strRef>
          </c:cat>
          <c:val>
            <c:numRef>
              <c:f>'V59_Ocean_pH'!$B$18:$B$40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surface pH without OAE</c:v>
          </c:tx>
          <c:marker>
            <c:symbol val="none"/>
          </c:marker>
          <c:cat>
            <c:strRef>
              <c:f>'V59_Ocean_pH'!$A$18:$A$40</c:f>
              <c:strCache>
                <c:ptCount val="0"/>
              </c:strCache>
            </c:strRef>
          </c:cat>
          <c:val>
            <c:numRef>
              <c:f>'V59_Ocean_pH'!$C$18:$C$40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f377216b14445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9ef508738b432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a113f8595442f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eb57a45d4142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823f9dc79546e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21ac58ecb940f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1.xml" Id="R2875b255391744e1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2.xml" Id="Ra63d4270ad3043d4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3.xml" Id="Rc170a1c36098443a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drawing" Target="/xl/drawings/drawing4.xml" Id="R39d046841abd4aa1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drawing" Target="/xl/drawings/drawing5.xml" Id="R6f3f8a051ed049fe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6.xml" Id="R861725261d65409a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1" hidden="0" customWidth="1"/>
    <x:col min="3" max="3" width="34" hidden="0" customWidth="1"/>
    <x:col min="4" max="4" width="78" hidden="0" customWidth="1"/>
    <x:col min="6" max="6" width="39" hidden="0" customWidth="1"/>
    <x:col min="7" max="7" width="18" hidden="0" customWidth="1"/>
    <x:col min="8" max="8" width="20" hidden="0" customWidth="1"/>
    <x:col min="9" max="9" width="55" hidden="0" customWidth="1"/>
  </x:cols>
  <x:sheetData>
    <x:row r="1">
      <x:c r="A1" s="270" t="str">
        <x:v>Planetary Restoration Model Version 59.1 — Scope-Freeze Maintenance Release</x:v>
      </x:c>
      <x:c r="B1" s="270"/>
      <x:c r="C1" s="270"/>
      <x:c r="D1" s="270"/>
      <x:c r="E1" s="271"/>
      <x:c r="F1" s="270"/>
      <x:c r="G1" s="270"/>
      <x:c r="H1" s="270"/>
      <x:c r="I1" s="152"/>
    </x:row>
    <x:row r="3">
      <x:c r="A3" s="272" t="str">
        <x:v>Scope is frozen. No new planetary subsystem is added. The remaining critical path is external carbon-cycle validation/inversion. Paper-facing sea level is restricted to persistence through the archived FaIR horizon; millennial post-2400 dates are excluded. Ocean pH remains supplementary and is limited to two-decimal publication precision until temperature-coupled carbonate chemistry is run.</x:v>
      </x:c>
      <x:c r="B3" s="272"/>
      <x:c r="C3" s="272"/>
      <x:c r="D3" s="272"/>
      <x:c r="E3" s="272"/>
      <x:c r="F3" s="272"/>
      <x:c r="G3" s="272"/>
      <x:c r="H3" s="272"/>
      <x:c r="I3" s="155"/>
    </x:row>
    <x:row r="4">
      <x:c r="F4" s="128"/>
      <x:c r="G4" s="128"/>
      <x:c r="H4" s="128"/>
      <x:c r="I4" s="128"/>
    </x:row>
    <x:row r="5">
      <x:c r="A5" s="273" t="str">
        <x:v>V59.1 current headline</x:v>
      </x:c>
      <x:c r="B5" s="273" t="str">
        <x:v>Value</x:v>
      </x:c>
      <x:c r="C5" s="273" t="str">
        <x:v>Unit/status</x:v>
      </x:c>
      <x:c r="D5" s="273" t="str">
        <x:v>Interpretation</x:v>
      </x:c>
      <x:c r="F5" s="131"/>
      <x:c r="G5" s="6"/>
      <x:c r="H5" s="6"/>
      <x:c r="I5" s="6"/>
    </x:row>
    <x:row r="6">
      <x:c r="A6" s="274" t="str">
        <x:v>Externally supported 280 ppm return</x:v>
      </x:c>
      <x:c r="B6" s="6" t="str">
        <x:v>NOT REACHED</x:v>
      </x:c>
      <x:c r="C6" s="6" t="str">
        <x:v>FaIR through 2400; Hector through 2300</x:v>
      </x:c>
      <x:c r="D6" s="6" t="str">
        <x:v>No finite external restoration date.</x:v>
      </x:c>
      <x:c r="F6" s="131"/>
      <x:c r="G6" s="6"/>
      <x:c r="H6" s="6"/>
      <x:c r="I6" s="6"/>
    </x:row>
    <x:row r="7">
      <x:c r="A7" s="274" t="str">
        <x:v>Canonical cumulative apparent response</x:v>
      </x:c>
      <x:c r="B7" s="6" t="n">
        <x:v>58.1</x:v>
      </x:c>
      <x:c r="C7" s="6" t="str">
        <x:v>%</x:v>
      </x:c>
      <x:c r="D7" s="6" t="str">
        <x:v>Path-dependent atmospheric drawdown / cumulative anthropogenic net removal.</x:v>
      </x:c>
      <x:c r="F7" s="131"/>
      <x:c r="G7" s="6"/>
      <x:c r="H7" s="6"/>
      <x:c r="I7" s="6"/>
    </x:row>
    <x:row r="8">
      <x:c r="A8" s="274" t="str">
        <x:v>Aggregate FaIR percentile-curve endpoint envelope</x:v>
      </x:c>
      <x:c r="B8" s="197" t="str">
        <x:v>56.8%–58.7%</x:v>
      </x:c>
      <x:c r="C8" s="6" t="str">
        <x:v>NOT configuration-level uncertainty</x:v>
      </x:c>
      <x:c r="D8" s="6" t="str">
        <x:v>Proper per-configuration response distribution remains open.</x:v>
      </x:c>
      <x:c r="F8" s="131"/>
      <x:c r="G8" s="6"/>
      <x:c r="H8" s="6"/>
      <x:c r="I8" s="6"/>
    </x:row>
    <x:row r="9">
      <x:c r="A9" s="274" t="str">
        <x:v>Why early response can exceed 100%</x:v>
      </x:c>
      <x:c r="B9" s="197" t="str">
        <x:v>LEGACY NATURAL SINK UPTAKE</x:v>
      </x:c>
      <x:c r="C9" s="6" t="str">
        <x:v>interpretation</x:v>
      </x:c>
      <x:c r="D9" s="6" t="str">
        <x:v>Natural sinks initially continue removing CO₂ in parallel with anthropogenic net removal.</x:v>
      </x:c>
      <x:c r="F9" s="131"/>
      <x:c r="G9" s="6"/>
      <x:c r="H9" s="6"/>
      <x:c r="I9" s="6"/>
    </x:row>
    <x:row r="10">
      <x:c r="A10" s="274" t="str">
        <x:v>Central additional GMSL in 2100</x:v>
      </x:c>
      <x:c r="B10" s="198" t="n">
        <x:v>30.9</x:v>
      </x:c>
      <x:c r="C10" s="6" t="str">
        <x:v>cm since 2026</x:v>
      </x:c>
      <x:c r="D10" s="6" t="str">
        <x:v>Screening emulator.</x:v>
      </x:c>
      <x:c r="F10" s="131"/>
      <x:c r="G10" s="6"/>
      <x:c r="H10" s="6"/>
      <x:c r="I10" s="6"/>
    </x:row>
    <x:row r="11">
      <x:c r="A11" s="274" t="str">
        <x:v>Central additional GMSL in 2300</x:v>
      </x:c>
      <x:c r="B11" s="198" t="n">
        <x:v>65.9</x:v>
      </x:c>
      <x:c r="C11" s="6" t="str">
        <x:v>cm since 2026</x:v>
      </x:c>
      <x:c r="D11" s="6" t="str">
        <x:v>Sea-level persistence is paper-facing consequence.</x:v>
      </x:c>
      <x:c r="F11" s="131"/>
      <x:c r="G11" s="6"/>
      <x:c r="H11" s="6"/>
      <x:c r="I11" s="6"/>
    </x:row>
    <x:row r="12">
      <x:c r="A12" s="274" t="str">
        <x:v>Central additional GMSL in 2400</x:v>
      </x:c>
      <x:c r="B12" s="183" t="n">
        <x:v>70.5</x:v>
      </x:c>
      <x:c r="C12" s="6" t="str">
        <x:v>cm since 2026</x:v>
      </x:c>
      <x:c r="D12" s="6" t="str">
        <x:v>Still rising at archived horizon.</x:v>
      </x:c>
      <x:c r="F12" s="131"/>
      <x:c r="G12" s="6"/>
      <x:c r="H12" s="6"/>
      <x:c r="I12" s="6"/>
    </x:row>
    <x:row r="13">
      <x:c r="A13" s="274" t="str">
        <x:v>Central GMSL rate in 2400</x:v>
      </x:c>
      <x:c r="B13" s="6" t="n">
        <x:v>0.281</x:v>
      </x:c>
      <x:c r="C13" s="6" t="str">
        <x:v>mm/yr</x:v>
      </x:c>
      <x:c r="D13" s="6" t="str">
        <x:v>Positive despite major surface cooling.</x:v>
      </x:c>
      <x:c r="F13" s="131"/>
      <x:c r="G13"/>
      <x:c r="H13"/>
      <x:c r="I13"/>
    </x:row>
    <x:row r="14">
      <x:c r="A14" s="274" t="str">
        <x:v>Post-2400 sea-level dates</x:v>
      </x:c>
      <x:c r="B14" s="6" t="str">
        <x:v>EXCLUDED FROM PAPER</x:v>
      </x:c>
      <x:c r="C14" s="6" t="str">
        <x:v>diagnostic only</x:v>
      </x:c>
      <x:c r="D14" s="6" t="str">
        <x:v>Retained only under experimental paper-excluded subtree.</x:v>
      </x:c>
      <x:c r="F14" s="131"/>
      <x:c r="G14"/>
      <x:c r="H14"/>
      <x:c r="I14"/>
    </x:row>
    <x:row r="15">
      <x:c r="A15" s="274" t="str">
        <x:v>Sea-level uncertainty</x:v>
      </x:c>
      <x:c r="B15" s="199" t="str">
        <x:v>UNDER-DISPERSED</x:v>
      </x:c>
      <x:c r="C15" s="6" t="str">
        <x:v>vs AR6 2300</x:v>
      </x:c>
      <x:c r="D15" s="6" t="str">
        <x:v>V59 three-case emulator does not span AR6 upper range; not calibrated p05/p50/p95.</x:v>
      </x:c>
      <x:c r="F15" s="131"/>
      <x:c r="G15"/>
      <x:c r="H15"/>
      <x:c r="I15"/>
    </x:row>
    <x:row r="16">
      <x:c r="A16" s="274" t="str">
        <x:v>Surface-ocean pH minimum</x:v>
      </x:c>
      <x:c r="B16" s="198" t="str">
        <x:v>8.05</x:v>
      </x:c>
      <x:c r="C16" s="6" t="str">
        <x:v>two-decimal screen</x:v>
      </x:c>
      <x:c r="D16" s="6" t="str">
        <x:v>Exact threshold years withheld from publication.</x:v>
      </x:c>
      <x:c r="F16" s="131"/>
      <x:c r="G16"/>
      <x:c r="H16"/>
      <x:c r="I16"/>
    </x:row>
    <x:row r="17">
      <x:c r="A17" s="274" t="str">
        <x:v>Surface-ocean pH near FaIR 2400</x:v>
      </x:c>
      <x:c r="B17" s="183" t="str">
        <x:v>8.16</x:v>
      </x:c>
      <x:c r="C17" s="6" t="str">
        <x:v>two-decimal screen</x:v>
      </x:c>
      <x:c r="D17" s="6" t="str">
        <x:v>Fixed T/S chemistry remains supplementary.</x:v>
      </x:c>
      <x:c r="F17" s="131"/>
      <x:c r="G17"/>
      <x:c r="H17"/>
      <x:c r="I17"/>
    </x:row>
    <x:row r="18">
      <x:c r="A18" s="274" t="str">
        <x:v>Peak OAE pH increment</x:v>
      </x:c>
      <x:c r="B18" s="6" t="n">
        <x:v>0.0018</x:v>
      </x:c>
      <x:c r="C18" s="6" t="str">
        <x:v>in 2147</x:v>
      </x:c>
      <x:c r="D18" s="6" t="str">
        <x:v>Peak, not nearly-zero endpoint, is the correct OAE diagnostic.</x:v>
      </x:c>
    </x:row>
    <x:row r="19">
      <x:c r="A19" s="274" t="str">
        <x:v>Peak OAE share of modeled min→endpoint pH recovery</x:v>
      </x:c>
      <x:c r="B19" s="6" t="n">
        <x:v>1.6</x:v>
      </x:c>
      <x:c r="C19" s="6" t="str">
        <x:v>%</x:v>
      </x:c>
      <x:c r="D19" s="6" t="str">
        <x:v>Most modeled pH recovery comes from atmospheric CO₂ decline.</x:v>
      </x:c>
    </x:row>
    <x:row r="20">
      <x:c r="A20" s="274" t="str">
        <x:v>Submission status</x:v>
      </x:c>
      <x:c r="B20" s="6" t="str">
        <x:v>NOT READY</x:v>
      </x:c>
      <x:c r="C20" s="6" t="str">
        <x:v>SCOPE FROZEN</x:v>
      </x:c>
      <x:c r="D20" s="6" t="str">
        <x:v>Common-state/zero-non-CO₂ FaIR, inverse solve, and OSCAR gate remain.</x:v>
      </x:c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</x:sheetData>
  <x:mergeCells>
    <x:mergeCell ref="A1:D1"/>
    <x:mergeCell ref="A3:D3"/>
    <x:mergeCell ref="A1:I1"/>
    <x:mergeCell ref="A3:I3"/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0" hidden="0" customWidth="1"/>
  </x:cols>
  <x:sheetData>
    <x:row r="1">
      <x:c r="A1" s="20" t="str">
        <x:v>metric</x:v>
      </x:c>
      <x:c r="B1" s="20" t="str">
        <x:v>value</x:v>
      </x:c>
      <x:c r="D1" s="235" t="str">
        <x:v>DIAGNOSTIC ONLY — V53.1 internal return-year ensemble. Do not quote 2158/2188/2319 or related dates as externally validated forecasts; archived FaIR/Hector do not reproduce the 280-ppm return.</x:v>
      </x:c>
      <x:c r="E1" s="235"/>
      <x:c r="F1" s="235"/>
      <x:c r="G1" s="235"/>
      <x:c r="H1" s="235"/>
    </x:row>
    <x:row r="2">
      <x:c r="A2" t="str">
        <x:v>classification</x:v>
      </x:c>
      <x:c r="B2" t="str">
        <x:v>Full V53.1 advanced physical sensitivity ensemble. Conditional percentiles are over returning draws; all-draw percentiles reinsert non-returning draws as right-censored. Authored ranges/weights are not empirical probabilities.</x:v>
      </x:c>
      <x:c r="D2" s="235"/>
      <x:c r="E2" s="235"/>
      <x:c r="F2" s="235"/>
      <x:c r="G2" s="235"/>
      <x:c r="H2" s="235"/>
    </x:row>
    <x:row r="3">
      <x:c r="A3" t="str">
        <x:v>samples</x:v>
      </x:c>
      <x:c r="B3" t="n">
        <x:v>700</x:v>
      </x:c>
      <x:c r="D3" s="235"/>
      <x:c r="E3" s="235"/>
      <x:c r="F3" s="235"/>
      <x:c r="G3" s="235"/>
      <x:c r="H3" s="235"/>
    </x:row>
    <x:row r="4">
      <x:c r="A4" t="str">
        <x:v>crossing_samples</x:v>
      </x:c>
      <x:c r="B4" t="n">
        <x:v>690</x:v>
      </x:c>
    </x:row>
    <x:row r="5">
      <x:c r="A5" t="str">
        <x:v>noncrossing_samples</x:v>
      </x:c>
      <x:c r="B5" t="n">
        <x:v>10</x:v>
      </x:c>
    </x:row>
    <x:row r="6">
      <x:c r="A6" t="str">
        <x:v>fraction_not_restored_within_horizon</x:v>
      </x:c>
      <x:c r="B6" t="n">
        <x:v>0.014285714285714285</x:v>
      </x:c>
    </x:row>
    <x:row r="7">
      <x:c r="A7" t="str">
        <x:v>return_year_p05_conditional</x:v>
      </x:c>
      <x:c r="B7" t="n">
        <x:v>2158</x:v>
      </x:c>
    </x:row>
    <x:row r="8">
      <x:c r="A8" t="str">
        <x:v>return_year_p50_conditional</x:v>
      </x:c>
      <x:c r="B8" t="n">
        <x:v>2188</x:v>
      </x:c>
    </x:row>
    <x:row r="9">
      <x:c r="A9" t="str">
        <x:v>return_year_p95_conditional</x:v>
      </x:c>
      <x:c r="B9" t="n">
        <x:v>2319.1</x:v>
      </x:c>
    </x:row>
    <x:row r="10">
      <x:c r="A10" t="str">
        <x:v>return_year_p50_all_draws</x:v>
      </x:c>
      <x:c r="B10" t="n">
        <x:v>2189</x:v>
      </x:c>
    </x:row>
    <x:row r="11">
      <x:c r="A11" t="str">
        <x:v>return_year_p95_all_draws</x:v>
      </x:c>
      <x:c r="B11" t="n">
        <x:v>2331.05</x:v>
      </x:c>
    </x:row>
    <x:row r="12">
      <x:c r="A12" t="str">
        <x:v>accelerated_design_crossing_year</x:v>
      </x:c>
      <x:c r="B12" t="n">
        <x:v>2155</x:v>
      </x:c>
    </x:row>
    <x:row r="13">
      <x:c r="A13" t="str">
        <x:v>accelerated_design_percentile_rank_among_returning</x:v>
      </x:c>
      <x:c r="B13" t="n">
        <x:v>0.02753623188405797</x:v>
      </x:c>
    </x:row>
    <x:row r="14">
      <x:c r="A14" t="str">
        <x:v>peak_co2_p05</x:v>
      </x:c>
      <x:c r="B14" t="n">
        <x:v>438.70133949916385</x:v>
      </x:c>
    </x:row>
    <x:row r="15">
      <x:c r="A15" t="str">
        <x:v>peak_co2_p50</x:v>
      </x:c>
      <x:c r="B15" t="n">
        <x:v>443.03761448494095</x:v>
      </x:c>
    </x:row>
    <x:row r="16">
      <x:c r="A16" t="str">
        <x:v>peak_co2_p95</x:v>
      </x:c>
      <x:c r="B16" t="n">
        <x:v>454.8132391958024</x:v>
      </x:c>
    </x:row>
    <x:row r="17">
      <x:c r="A17" t="str">
        <x:v>peak_warming_p05</x:v>
      </x:c>
      <x:c r="B17" t="n">
        <x:v>1.7407189384826114</x:v>
      </x:c>
    </x:row>
    <x:row r="18">
      <x:c r="A18" t="str">
        <x:v>peak_warming_p50</x:v>
      </x:c>
      <x:c r="B18" t="n">
        <x:v>1.8086184210772627</x:v>
      </x:c>
    </x:row>
    <x:row r="19">
      <x:c r="A19" t="str">
        <x:v>peak_warming_p95</x:v>
      </x:c>
      <x:c r="B19" t="n">
        <x:v>1.8717705780772989</x:v>
      </x:c>
    </x:row>
    <x:row r="20">
      <x:c r="A20" t="str">
        <x:v>land_binding_fraction</x:v>
      </x:c>
      <x:c r="B20" t="n">
        <x:v>0.2257142857142857</x:v>
      </x:c>
    </x:row>
    <x:row r="21">
      <x:c r="A21" t="str">
        <x:v>transition_case_weights</x:v>
      </x:c>
      <x:c r="B21" t="str">
        <x:v>{"iea_nze_reference": 0.35, "high_acceleration": 0.15, "current_investment_constrained": 0.2, "natural_turnover": 0.15, "delayed_finance": 0.15}</x:v>
      </x:c>
    </x:row>
    <x:row r="22">
      <x:c r="A22" t="str">
        <x:v>land_case_weights</x:v>
      </x:c>
      <x:c r="B22" t="str">
        <x:v>{"central": 0.6, "low_efficiency": 0.2, "high_efficiency": 0.2}</x:v>
      </x:c>
    </x:row>
    <x:row r="23">
      <x:c r="A23" t="str">
        <x:v>parameter_ranges</x:v>
      </x:c>
      <x:c r="B23" t="str">
        <x:v>{"mature_incremental_cdr_gtco2_yr": "triangular 10-16 mode 15.2", "cdr_maturity_year": "triangular 2040-2055 mode 2043", "observed_natural_sink_gtc_yr": "triangular 5.4-7.2 mode 6.3", "permafrost_tau_yr": "triangular 30-70 mode 50"}</x:v>
      </x:c>
    </x:row>
    <x:row r="24">
      <x:c r="A24" t="str">
        <x:v>nonco2_treatment</x:v>
      </x:c>
      <x:c r="B24" t="str">
        <x:v>baseline V53.1 CH4/N2O pathway held fixed so the ensemble isolates physical/deployment uncertainty; non-CO2 mitigation is reported separately.</x:v>
      </x:c>
    </x:row>
    <x:row r="25">
      <x:c r="A25" t="str">
        <x:v>draw_rows</x:v>
      </x:c>
      <x:c r="B25" t="str">
        <x:v>[{"draw": 1, "transition_case": "natural_turnover", "land_case": "high_efficiency", "mature_incremental_cdr_gtco2_yr": 14.361137651741721, "cdr_maturity_year": 2048, "observed_natural_sink_gtc_yr": 6.661469996845424, "permafrost_tau_yr": 38.41638637235744, "first_below_280_year": 2265, "peak_co2_ppm": 452.20787286810753, "peak_warming_c": 1.7400414946707874, "land_binding": false}, {"draw": 2, "transition_case": "current_investment_constrained", "land_case": "central", "mature_incremental_cdr_gtco2_yr": 15.401957468938795, "cdr_maturity_year": 2047, "observed_natural_sink_gtc_yr": 6.25151628633686, "permafrost_tau_yr": 54.47901344756803, "first_below_280_year": 2161, "peak_co2_ppm": 443.7000621873252, "peak_warming_c": 1.8094864983335872, "land_binding": false}, {"draw": 3, "transition_case": "natural_turnover", "land_case": "low_efficiency", "mature_incremental_cdr_gtco2_yr": 15.14342183563544, "cdr_maturity_year": 2055, "observed_natural_sink_gtc_yr": 5.965601006552885, "permafrost_tau_yr": 54.652059964186854, "first_below_280_year": 2382, "peak_co2_ppm": 457.30439974603485, "peak_warming_c": 1.84502896327641, "land_binding": true}, {"draw": 4, "transition_case": "iea_nze_reference", "land_case": "high_efficiency", "mature_incremental_cdr_gtco2_yr": 15.62665068134049, "cdr_maturity_year": 2042, "observed_natural_sink_gtc_yr": 7.163597965241014, "permafrost_tau_yr": 46.56808657887245, "first_below_280_year": 2150, "peak_co2_ppm": 437.9295058933471, "peak_warming_c": 1.767556847432586, "land_binding": false}, {"draw": 5, "transition_case": "high_acceleration", "land_case": "central", "mature_incremental_cdr_gtco2_yr": 13.852747465849705, "cdr_maturity_year": 2046, "observed_natural_sink_gtc_yr": 6.499355446576039, "permafrost_tau_yr": 56.32720782744641, "first_below_280_year": 2167, "peak_co2_ppm": 438.732849973158, "peak_warming_c": 1.8008178265605153, "land_binding": false}, {"draw": 6, "transition_case": "iea_nze_reference", "land_case": "central", "mature_incremental_cdr_gtco2_yr": 15.198749817091265, "cdr_maturity_year": 2048, "observed_natural_sink_gtc_yr": 6.165872808726575, "permafrost_tau_yr": 41.859991332556845, "first_below_280_year": 2159, "peak_co2_ppm": 440.42726604660834, "peak_warming_c": 1.804939818079037, "land_binding": false}, {"draw": 7, "transition_case": "current_investment_constrained", "land_case": "central", "mature_incremental_cdr_gtco2_yr": 14.414793154595564, "cdr_maturity_year": 2045, "observed_natural_sink_gtc_yr": 6.4829881210234745, "permafrost_tau_yr": 60.78085560221396, "first_below_280_year": 2171, "peak_co2_ppm": 443.12806952228266, "peak_warming_c": 1.8042247457860285, "land_binding": false}, {"draw": 8, "transition_case": "iea_nze_reference", "land_case": "central", "mature_incremental_cdr_gtco2_yr": 12.596991159462426, "cdr_maturity_year": 2052, "observed_natural_sink_gtc_yr": 6.404486566865278, "permafrost_tau_yr": 51.50158672532167, "first_below_280_year": 2192, "peak_co2_ppm": 440.63361862918305, "peak_warming_c": 1.8189140399744002, "land_binding": false}, {"draw": 9, "transition_case": "current_investment_constrained", "land_case": "central", "mature_incremental_cdr_gtco2_yr": 12.812543771624744, "cdr_maturity_year": 2046, "observed_natural_sink_gtc_yr": 6.300301173644192, "permafrost_tau_yr": 41.50955337763676, "first_below_280_year": 2194, "peak_co2_ppm": 444.0999242131245, "peak_warming_c": 1.8193860109332654, "land_binding": false}, {"draw": 10, "transition_case": "iea_nze_reference", "land_case": "central", "mature_incremental_cdr_gtco2_yr": 12.013778298943214, "cdr_maturity_year": 2042, "observed_natural_sink_gtc_yr": 6.651116839429107, "permafrost_tau_yr": 53.328953682378966, "first_below_280_year": 2194, "peak_co2_ppm": 439.3655580151528, "peak_warming_c": 1.7943993476499476, "land_binding": false}, {"draw": 11, "transition_case": "iea_nze_reference", "land_case": "central", "mature_incremental_cdr_gtco2_yr": 14.828695977419391, "cdr_maturity_year": 2042, "observed_natural_sink_gtc_yr": 6.062565607683488, "permafrost_tau_yr": 47.13323585140716, "first_below_280_year": 2159, "peak_co2_ppm": 439.87096081166993, "peak_warming_c": 1.788495911449685, "land_binding": false}, {"draw": 12, "transition_case": "natural_turnover", "land_case": "central", "mature_incremental_cdr_gtco2_yr": 13.799155419112417, "cdr_maturity_year": 2050, "observed_natural_sink_gtc_yr": 6.269758710923733, "permafrost_tau_yr": 33.16482178654179, "first_below_280_year": 2278, "peak_co2_ppm": 454.5412896998755, "peak_warming_c": 1.7714065746163707, "land_binding": false}, {"draw": 13, "transition_case": "current_investment_constrained", "land_case": "central", "mature_incremental_cdr_gtco2_yr": 10.149800683660144, "cdr_maturity_year": 2046, "observed_natural_sink_gtc_yr": 6.287494170215517, "permafrost_tau_yr": 43.66594778877651, "first_below_280_year": 2244, "peak_co2_ppm": 444.8599348494082, "peak_warming_c": 1.8330949543942532, "land_binding": false}, {"draw": 14, "transition_case": "iea_nze_reference", "land_case": "central", "mature_incremental_cdr_gtco2_yr": 12.704589145678394, "cdr_maturity_year": 2044, "observed_natural_sink_gtc_yr": 6.171418605108427, "permafrost_tau_yr": 54.72622884640301, "first_below_280_year": 2186, "peak_co2_ppm": 440.34359940282525, "peak_warming_c": 1.8030163747410237, "land_binding": false}, {"draw": 15, "transition_case": "iea_nze_reference", "land_case": "high_efficiency", "mature_incremental_cdr_gtco2_yr": 12.499041918194788, "cdr_maturity_year": 2042, "observed_natural_sink_gtc_yr": 6.321515019568894, "permafrost_tau_yr": 44.19605078435144, "first_below_280_year": 2189, "peak_co2_ppm": 439.86477230302705, "peak_warming_c": 1.792632530407273, "land_binding": false}, {"draw": 16, "transition_case": "current_investment_constrained", "land_case": "low_efficiency", "mature_incremental_cdr_gtco2_yr": 15.225061633878893, "cdr_maturity_year": 2049, "observed_natural_sink_gtc_yr": 6.130528202289686, "permafrost_tau_yr": 61.53956011151942, "first_below_280_year": 2244, "peak_co2_ppm": 444.86213573243367, "peak_warming_c": 1.8366923885314717, "land_binding": true}, {"draw": 17, "transition_case": "current_investment_constrained", "land_case": "central", "mature_incremental_cdr_gtco2_yr": 14.509269738301585, "cdr_maturity_year": 2045, "observed_natural_sink_gtc_yr": 6.629749820486918, "permafrost_tau_yr": 51.900060083692125, "first_below_280_year": 2168, "peak_co2_ppm": 442.84671955965894, "peak_warming_c": 1.802276709884876, "land_binding": false}, {"draw": 18, "transition_case": "iea_nze_reference", "land_case": "low_efficiency", "mature_incremental_cdr_gtco2_yr": 14.5831366215174, "cdr_maturity_year": 2045, "observed_natural_sink_gtc_yr": 6.272578346904614, "permafrost_tau_yr": 47.58521787529192, "first_below_280_year": 2242, "peak_co2_ppm": 440.46659346130514, "peak_warming_c": 1.815565759874636, "land_binding": true}, {"draw": 19, "transition_case": "iea_nze_reference", "land_case": "central", "mature_incremental_cdr_gtco2_yr": 10.642004436742912, "cdr_maturity_year": 2052, "observed_natural_sink_gtc_yr": 6.069540341505154, "permafrost_tau_yr": 46.871312599468475, "first_below_280_year": 2227, "peak_co2_ppm": 441.47681768618577, "peak_warming_c": 1.8296214718472184, "land_binding": false}, {"draw": 20, "transition_case": "iea_nze_reference", "land_case": "central", "mature_incremental_cdr_gtco2_yr": 14.105930642513025, "cdr_maturity_year": 2046, "observed_natural_sink_gtc_yr": 6.496630335597923, "permafrost_tau_yr": 38.341532575519025, "first_below_280_year": 2167, "peak_co2_ppm": 439.8124243704389, "peak_warming_c": 1.7999289160472811, "land_binding": false}, {"draw": 21, "transition_case": "high_acceleration", "land_case": "central", "mature_incremental_cdr_gtco2_yr": 14.749780178600798, "cdr_maturity_year": 2053, "observed_natural_sink_gtc_yr": 6.117403185439339, "permafrost_tau_yr": 38.088302553315444, "first_below_280_year": 2162, "peak_co2_ppm": 439.74966302605935, "peak_warming_c": 1.817162208083512, "land_binding": false}, {"draw": 22, "transition_case": "high_acceleration", "land_case": "low_efficiency", "mature_incremental_cdr_gtco2_yr": 15.255262772739062, "cdr_maturity_year": 2049, "observed_natural_sink_gtc_yr": 6.358165794366863, "permafrost_tau_yr": 44.51205811408104, "first_below_280_year": 2229, "peak_co2_ppm": 439.32953929439213, "peak_warming_c": 1.8188698389444486, "land_binding": true}, {"draw": 23, "transition_case": "iea_nze_reference", "land_case": "high_efficiency", "mature_incremental_cdr_gtco2_yr": 14.550805496543989, "cdr_maturity_year": 2045, "observed_natural_sink_gtc_yr": 6.393331470066409, "permafrost_tau_yr": 32.12234848811559, "first_below_280_year": 2162, "peak_co2_ppm": 439.82635795977683, "peak_warming_c": 1.7933003008278388, "land_binding": false}, {"draw": 24, "transition_case": "iea_nze_reference", "land_case": "low_efficiency", "mature_incremental_cdr_gtco2_yr": 13.846386856987664, "cdr_maturity_year": 2043, "observed_natural_sink_gtc_yr": 5.674946029050964, "permafrost_tau_yr": 41.24373487519116, "first_below_280_year": 2258, "peak_co2_ppm": 441.4452492982673, "peak_warming_c": 1.8213133039529177, "land_binding": true}, {"draw": 25, "transition_case": "delayed_finance", "land_case": "high_efficiency", "mature_incremental_cdr_gtco2_yr": 12.583782438859693, "cdr_maturity_year": 2048, "observed_natural_sink_gtc_yr": 6.746175840735829, "permafrost_tau_yr": 47.656908478835845, "first_below_280_year": 2205, "peak_co2_ppm": 452.88122096422325, "peak_warming_c": 1.864254482953963, "land_binding": false}, {"draw": 26, "transition_case": "iea_nze_reference", "land_case": "central", "mature_incremental_cdr_gtco2_yr": 11.923261313174791, "cdr_maturity_year": 2049, "observed_natural_sink_gtc_yr": 6.2271662258288645, "permafrost_tau_yr": 54.99982456730973, "first_below_280_year": 2199, "peak_co2_ppm": 440.83215829134485, "peak_warming_c": 1.818063873564907, "land_binding": false}, {"draw": 27, "transition_case": "current_investment_constrained", "land_case": "low_efficiency", "mature_incremental_cdr_gtco2_yr": 12.312567727769574, "cdr_maturity_year": 2048, "observed_natural_sink_gtc_yr": 6.281488025149725, "permafrost_tau_yr": 40.678377902159596, "first_below_280_year": 2303, "peak_co2_ppm": 445.01391031283254, "peak_warming_c": 1.8431246114854216, "land_binding": true}, {"draw": 28, "transition_case": "current_investment_constrained", "land_case": "high_efficiency", "mature_incremental_cdr_gtco2_yr": 12.969579979619404, "cdr_maturity_year": 2045, "observed_natural_sink_gtc_yr": 5.945816349164103, "permafrost_tau_yr": 52.490061113677484, "first_below_280_year": 2191, "peak_co2_ppm": 444.53271808881664, "peak_warming_c": 1.8141022515308918, "land_binding": false}, {"draw": 29, "transition_case": "iea_nze_reference", "land_case": "central", "mature_incremental_cdr_gtco2_yr": 15.18349868915189, "cdr_maturity_year": 2046, "observed_natural_sink_gtc_yr": 6.122267464296995, "permafrost_tau_yr": 53.061232489946846, "first_below_280_year": 2157, "peak_co2_ppm": 440.265679135514, "peak_warming_c": 1.7995716095768575, "land_binding": false}, {"draw": 30, "transition_case": "current_investment_constrained", "land_case": "central", "mature_incremental_cdr_gtco2_yr": 14.825167492424436, "cdr_maturity_year": 2051, "observed_natural_sink_gtc_yr": 6.382831583521022, "permafrost_tau_yr": 49.10813226656815, "first_below_280_year": 2171, "peak_co2_ppm": 444.1539922711897, "peak_warming_c": 1.822657098551406, "land_binding": false}, {"draw": 31, "transition_case": "current_investment_constrained", "land_case": "central", "mature_incremental_cdr_gtco2_yr": 12.757332903276652, "cdr_maturity_year": 2049, "observed_natural_sink_gtc_yr": 6.234278751130689, "permafrost_tau_yr": 43.2890350964685, "first_below_280_year": 2195, "peak_co2_ppm": 444.6851968083552, "peak_warming_c": 1.8288358102104043, "land_binding": false}, {"draw": 32, "transition_case": "iea_nze_reference", "land_case": "high_efficiency", "mature_incremental_cdr_gtco2_yr": 14.60750117687751, "cdr_maturity_year": 2049, "observed_natural_sink_gtc_yr": 5.82820373673077, "permafrost_tau_yr": 44.2376930708454, "first_below_280_year": 2165, "peak_co2_ppm": 441.19126223672083, "peak_warming_c": 1.8094998671859794, "land_binding": false}, {"draw": 33, "transition_case": "delayed_finance", "land_case": "high_efficiency", "mature_incremental_cdr_gtco2_yr": 11.881156636544892, "cdr_maturity_year": 2043, "observed_natural_sink_gtc_yr": 5.893900733964808, "permafrost_tau_yr": 32.44398140321188, "first_below_280_year": 2218, "peak_co2_ppm": 453.6312616810251, "peak_warming_c": 1.8655446003319371, "land_binding": false}, {"draw": 34, "transition_case": "current_investment_constrained", "land_case": "central", "mature_incremental_cdr_gtco2_yr": 13.845954203621533, "cdr_maturity_year": 2052, "observed_natural_sink_gtc_yr": 5.958238051371141, "permafrost_tau_yr": 57.99457045102443, "first_below_280_year": 2181, "peak_co2_ppm": 445.30762076248425, "peak_warming_c": 1.8337599451636208, "land_binding": false}, {"draw": 35, "transition_case": "natural_turnover", "land_case": "high_efficiency", "mature_incremental_cdr_gtco2_yr": 15.019289491715355, "cdr_maturity_year": 2047, "observed_natural_sink_gtc_yr": 6.626493658572578, "permafrost_tau_yr": 44.23418496133434, "first_below_280_year": 2253, "peak_co2_ppm": 451.19999343507595, "peak_warming_c": 1.7286306860031417, "land_binding": false}, {"draw": 36, "transition_case": "current_investment_constrained", "land_case": "central", "mature_incremental_cdr_gtco2_yr": 15.049401523130928, "cdr_maturity_year": 2043, "observed_natural_sink_gtc_yr": 6.383012906182553, "permafrost_tau_yr": 56.73160036738382, "first_below_280_year": 2165, "peak_co2_ppm": 442.7031564517147, "peak_warming_c": 1.7945504072081275, "land_binding": false}, {"draw": 37, "transition_case": "iea_nze_reference", "land_case": "central", "mature_incremental_cdr_gtco2_yr": 11.159530445534223, "cdr_maturity_year": 2044, "observed_natural_sink_gtc_yr": 6.420757674250537, "permafrost_tau_yr": 44.90639769631124, "first_below_280_year": 2211, "peak_co2_ppm": 440.19451814320837, "peak_warming_c": 1.8077260941001179, "land_binding": false}, {"draw": 38, "transition_case": "iea_nze_reference", "land_case": "central", "mature_incremental_cdr_gtco2_yr": 14.53936607859563, "cdr_maturity_year": 2049, "observed_natural_sink_gtc_yr": 6.505258703815351, "permafrost_tau_yr": 48.96712634221026, "first_below_280_year": 2165, "peak_co2_ppm": 439.99983863535925, "peak_warming_c": 1.8053031148478649, "land_binding": false}, {"draw": 39, "transition_case": "natural_turnover", "land_case": "low_efficiency", "mature_incremental_cdr_gtco2_yr": 11.050203641284659, "cdr_maturity_year": 2043, "observed_natural_sink_gtc_yr": 6.294909737478967, "permafrost_tau_yr": 51.43121339574219, "first_below_280_year": null, "peak_co2_ppm": 455.3511967076646, "peak_warming_c": 1.8795090952009053, "land_binding": true}, {"draw": 40, "transition_case": "iea_nze_reference", "land_case": "central", "mature_incremental_cdr_gtco2_yr": 14.388817227504509, "cdr_maturity_year": 2045, "observed_natural_sink_gtc_yr": 6.305034988295836, "permafrost_tau_yr": 50.73493742757009, "first_below_280_year": 2164, "peak_co2_ppm": 439.95479489963986, "peak_warming_c": 1.7975841248027433, "land_binding": false}, {"draw": 41, "transition_case": "iea_nze_reference", "land_case": "central", "mature_incremental_cdr_gtco2_yr": 12.76438772347725, "cdr_maturity_year": 2049, "observed_natural_sink_gtc_yr": 6.593715808647791, "permafrost_tau_yr": 43.29476088983822, "first_below_280_year": 2185, "peak_co2_ppm": 440.0998363185031, "peak_warming_c": 1.8111095518458022, "land_binding": false}, {"draw": 42, "transition_case": "natural_turnover", "land_case": "low_efficiency", "mature_incremental_cdr_gtco2_yr": 15.103170546343595, "cdr_maturity_year": 2042, "observed_natural_sink_gtc_yr": 6.101366131919853, "permafrost_tau_yr": 66.27313782113609, "first_below_280_year": 2375, "peak_co2_ppm": 452.14047167221327, "peak_warming_c": 1.817134089582157, "land_binding": true}, {"draw": 43, "transition_case": "iea_nze_reference", "land_case": "low_efficiency", "mature_incremental_cdr_gtco2_yr": 15.478840463854683, "cdr_maturity_year": 2044, "observed_natural_sink_gtc_yr": 6.179149507921579, "permafrost_tau_yr": 51.62507890532133, "first_below_280_year": 2230, "peak_co2_ppm": 440.4414816584122, "peak_warming_c": 1.8117278991767403, "land_binding": true}, {"draw": 44, "transition_case": "current_investment_constrained", "land_case": "central", "mature_incremental_cdr_gtco2_yr": 13.62688678877196, "cdr_maturity_year": 2047, "observed_natural_sink_gtc_yr": 6.874196086927744, "permafrost_tau_yr": 58.568309904889574, "first_below_280_year": 2180, "peak_co2_ppm": 442.93852689314986, "peak_warming_c": 1.8103512378902624, "land_binding": false}, {"draw": 45, "transition_case": "natural_turnover", "land_case": "central", "mature_incremental_cdr_gtco2_yr": 15.540662762114616, "cdr_maturity_year": 2043, "observed_natural_sink_gtc_yr": 5.955771742480867, "permafrost_tau_yr": 44.28089514989573, "first_below_280_year": 2245, "peak_co2_ppm": 449.8608942522952, "peak_warming_c": 1.7285896234988687, "land_binding": false}, {"draw": 46, "transition_case": "iea_nze_reference", "land_case": "central", "mature_incremental_cdr_gtco2_yr": 13.636711890054098, "cdr_maturity_year": 2048, "observed_natural_sink_gtc_yr": 6.792798620001558, "permafrost_tau_yr": 57.533595826461315, "first_below_280_year": 2174, "peak_co2_ppm": 439.5226717241243, "peak_warming_c": 1.802445075011658, "land_binding": false}, {"draw": 47, "transition_case": "iea_nze_reference", "land_case": "central", "mature_incremental_cdr_gtco2_yr": 12.696817617816297, "cdr_maturity_year": 2044, "observed_natural_sink_gtc_yr": 5.768694817076928, "permafrost_tau_yr": 45.283569902449, "first_below_280_year": 2188, "peak_co2_ppm": 441.0743089535315, "peak_warming_c": 1.8085959740303599, "land_binding": false}, {"draw": 48, "transition_case": "iea_nze_reference", "land_case": "high_efficiency", "mature_incremental_cdr_gtco2_yr": 13.658381613257786, "cdr_maturity_year": 2047, "observed_natural_sink_gtc_yr": 6.335124073050326, "permafrost_tau_yr": 53.96891234392441, "first_below_280_year": 2173, "peak_co2_ppm": 440.2309700024276, "peak_warming_c": 1.8013647481420207, "land_binding": false}, {"draw": 49, "transition_case": "current_investment_constrained", "land_case": "central", "mature_incremental_cdr_gtco2_yr": 11.98910884027405, "cdr_maturity_year": 2052, "observed_natural_sink_gtc_yr": 5.480633848542064, "permafrost_tau_yr": 44.541896122809135, "first_below_280_year": 2212, "peak_co2_ppm": 446.71270075781916, "peak_warming_c": 1.8482795071607028, "land_binding": false}, {"draw": 50, "transition_case": "current_investment_constrained", "land_case": "central", "mature_incremental_cdr_gtco2_yr": 13.163355788497869, "cdr_maturity_year": 2045, "observed_natural_sink_gtc_yr": 6.430736984163999, "permafrost_tau_yr": 58.01231206349088, "first_below_280_year": 2188, "peak_co2_ppm": 443.554228159996, "peak_warming_c": 1.8117785215103843, "land_binding": false}, {"draw": 51, "transition_case": "high_acceleration", "land_case": "high_efficiency", "mature_incremental_cdr_gtco2_yr": 12.725083378073604, "cdr_maturity_year": 2046, "observed_natural_sink_gtc_yr": 6.126568238180024, "permafrost_tau_yr": 47.77418773600657, "first_below_280_year": 2184, "peak_co2_ppm": 439.49922347956385, "peak_warming_c": 1.8060196953886025, "land_binding": false}, {"draw": 52, "transition_case": "current_investment_constrained", "land_case": "low_efficiency", "mature_incremental_cdr_gtco2_yr": 15.133248204850634, "cdr_maturity_year": 2045, "observed_natural_sink_gtc_yr": 6.62368387579875, "permafrost_tau_yr": 42.22394869065141, "first_below_280_year": 2243, "peak_co2_ppm": 443.5247937775936, "peak_warming_c": 1.8232571065691825, "land_binding": true}, {"draw": 53, "transition_case": "iea_nze_reference", "land_case": "central", "mature_incremental_cdr_gtco2_yr": 14.769602147223964, "cdr_maturity_year": 2041, "observed_natural_sink_gtc_yr": 6.010655945458498, "permafrost_tau_yr": 41.524932044574, "first_below_280_year": 2159, "peak_co2_ppm": 439.8303233258513, "peak_warming_c": 1.785990677279506, "land_binding": false}, {"draw": 54, "transition_case": "iea_nze_reference", "land_case": "central", "mature_incremental_cdr_gtco2_yr": 13.109258540624511, "cdr_maturity_year": 2044, "observed_natural_sink_gtc_yr": 6.019143979407725, "permafrost_tau_yr": 46.558559765007864, "first_below_280_year": 2181, "peak_co2_ppm": 440.5567786962052, "peak_warming_c": 1.8034877431508, "land_binding": false}, {"draw": 55, "transition_case": "delayed_finance", "land_case": "central", "mature_incremental_cdr_gtco2_yr": 13.539859403885737, "cdr_maturity_year": 2045, "observed_natural_sink_gtc_yr": 6.65583069316565, "permafrost_tau_yr": 59.51186852650382, "first_below_280_year": 2191, "peak_co2_ppm": 451.8716445606947, "peak_warming_c": 1.8555858136787882, "land_binding": false}, {"draw": 56, "transition_case": "iea_nze_reference", "land_case": "central", "mature_incremental_cdr_gtco2_yr": 14.306770461243982, "cdr_maturity_year": 2053, "observed_natural_sink_gtc_yr": 6.799165130677696, "permafrost_tau_yr": 48.424084603349655, "first_below_280_year": 2167, "peak_co2_ppm": 439.8089729212213, "peak_warming_c": 1.8104304140530019, "land_binding": false}, {"draw": 57, "transition_case": "delayed_finance", "land_case": "central", "mature_incremental_cdr_gtco2_yr": 11.602896416859952, "cdr_maturity_year": 2045, "observed_natural_sink_gtc_yr": 6.46839759972285, "permafrost_tau_yr": 44.95678415536125, "first_below_280_year": 2225, "peak_co2_ppm": 453.1282728773466, "peak_warming_c": 1.8707640335321467, "land_binding": false}, {"draw": 58, "transition_case": "high_acceleration", "land_case": "high_efficiency", "mature_incremental_cdr_gtco2_yr": 14.851872889653976, "cdr_maturity_year": 2042, "observed_natural_sink_gtc_yr": 6.164271234313683, "permafrost_tau_yr": 38.259948147457564, "first_below_280_year": 2156, "peak_co2_ppm": 438.76024872667597, "peak_warming_c": 1.7865856279337802, "land_binding": false}, {"draw": 59, "transition_case": "iea_nze_reference", "land_case": "central", "mature_incremental_cdr_gtco2_yr": 13.439833537298123, "cdr_maturity_year": 2047, "observed_natural_sink_gtc_yr": 6.006580773401562, "permafrost_tau_yr": 36.16006864552476, "first_below_280_year": 2177, "peak_co2_ppm": 440.8850315104489, "peak_warming_c": 1.8117047492234062, "land_binding": false}, {"draw": 60, "transition_case": "iea_nze_reference", "land_case": "low_efficiency", "mature_incremental_cdr_gtco2_yr": 14.910822149737925, "cdr_maturity_year": 2042, "observed_natural_sink_gtc_yr": 6.588166467391459, "permafrost_tau_yr": 48.65012819395446, "first_below_280_year": 2234, "peak_co2_ppm": 439.59001101598267, "peak_warming_c": 1.8037931321807732, "land_binding": true}, {"draw": 61, "transition_case": "delayed_finance", "land_case": "low_efficiency", "mature_incremental_cdr_gtco2_yr": 11.336502888158943, "cdr_maturity_year": 2045, "observed_natural_sink_gtc_yr": 6.313578999183423, "permafrost_tau_yr": 32.832262402851285, "first_below_280_year": 2349, "peak_co2_ppm": 454.33372501371036, "peak_warming_c": 1.8937281577545253, "land_binding": true}, {"draw": 62, "transition_case": "current_investment_constrained", "land_case": "high_efficiency", "mature_incremental_cdr_gtco2_yr": 13.39304987847828, "cdr_maturity_year": 2045, "observed_natural_sink_gtc_yr": 5.821217037155039, "permafrost_tau_yr": 42.063951738047955, "first_below_280_year": 2187, "peak_co2_ppm": 444.6918233350144, "peak_warming_c": 1.8140420316188064, "land_binding": false}, {"draw": 63, "transition_case": "current_investment_constrained", "land_case": "low_efficiency", "mature_incremental_cdr_gtco2_yr": 10.478400689426431, "cdr_maturity_year": 2047, "observed_natural_sink_gtc_yr": 6.543929960182027, "permafrost_tau_yr": 44.962710579332, "first_below_280_year": 2360, "peak_co2_ppm": 444.7144772966776, "peak_warming_c": 1.8438788769431977, "land_binding": true}, {"draw": 64, "transition_case": "iea_nze_reference", "land_case": "central", "mature_incremental_cdr_gtco2_yr": 12.230871950050327, "cdr_maturity_year": 2043, "observed_natural_sink_gtc_yr": 5.802090219732937, "permafrost_tau_yr": 56.898776770327025, "first_below_280_year": 2194, "peak_co2_ppm": 440.9488353990525, "peak_warming_c": 1.8067556910963047, "land_binding": false}, {"draw": 65, "transition_case": "iea_nze_reference", "land_case": "central", "mature_incremental_cdr_gtco2_yr": 12.891579074155468, "cdr_maturity_year": 2043, "observed_natural_sink_gtc_yr": 6.858040981669908, "permafrost_tau_yr": 54.10909813472291, "first_below_280_year": 2181, "peak_co2_ppm": 438.9808652338449, "peak_warming_c": 1.7908295346751717, "land_binding": false}, {"draw": 66, "transition_case": "natural_turnover", "land_case": "central", "mature_incremental_cdr_gtco2_yr": 10.847422960701241, "cdr_maturity_year": 2046, "observed_natural_sink_gtc_yr": 6.3300157059524675, "permafrost_tau_yr": 57.285891287299634, "first_below_280_year": 2356, "peak_co2_ppm": 454.8980042611611, "peak_warming_c": 1.8044428497668266, "land_binding": false}, {"draw": 67, "transition_case": "high_acceleration", "land_case": "high_efficiency", "mature_incremental_cdr_gtco2_yr": 13.575514264890646, "cdr_maturity_year": 2042, "observed_natural_sink_gtc_yr": 5.98773651205692, "permafrost_tau_yr": 46.38905898743505, "first_below_280_year": 2170, "peak_co2_ppm": 439.2276855202655, "peak_warming_c": 1.7936295021438118, "land_binding": false}, {"draw": 68, "transition_case": "natural_turnover", "land_case": "central", "mature_incremental_cdr_gtco2_yr": 14.106897283298206, "cdr_maturity_year": 2053, "observed_natural_sink_gtc_yr": 6.701892750424289, "permafrost_tau_yr": 53.43597966693253, "first_below_280_year": 2272, "peak_co2_ppm": 454.5168198688182, "peak_warming_c": 1.7692363242396218, "land_binding": false}, {"draw": 69, "transition_case": "delayed_finance", "land_case": "high_efficiency", "mature_incremental_cdr_gtco2_yr": 12.893980686265284, "cdr_maturity_year": 2043, "observed_natural_sink_gtc_yr": 6.270562592097422, "permafrost_tau_yr": 39.38493416498697, "first_below_280_year": 2202, "peak_co2_ppm": 452.33521990799056, "peak_warming_c": 1.8533266308616065, "land_binding": false}, {"draw": 70, "transition_case": "natural_turnover", "land_case": "central", "mature_incremental_cdr_gtco2_yr": 12.705621612317163, "cdr_maturity_year": 2041, "observed_natural_sink_gtc_yr": 6.471047008473953, "permafrost_tau_yr": 57.7344841728751, "first_below_280_year": 2299, "peak_co2_ppm": 449.78323982261634, "peak_warming_c": 1.757460820426065, "land_binding": false}, {"draw": 71, "transition_case": "current_investment_constrained", "land_case": "central", "mature_incremental_cdr_gtco2_yr": 15.519349823039871, "cdr_maturity_year": 2048, "observed_natural_sink_gtc_yr": 6.091252564566964, "permafrost_tau_yr": 42.499632281975735, "first_below_280_year": 2161, "peak_co2_ppm": 444.1740903372247, "peak_warming_c": 1.8151142064582977, "land_binding": false}, {"draw": 72, "transition_case": "iea_nze_reference", "land_case": "central", "mature_incremental_cdr_gtco2_yr": 12.535648662442044, "cdr_maturity_year": 2049, "observed_natural_sink_gtc_yr": 5.676568686931082, "permafrost_tau_yr": 40.611834736669906, "first_below_280_year": 2193, "peak_co2_ppm": 441.752561270645, "peak_warming_c": 1.8235230214218807, "land_binding": false}, {"draw": 73, "transition_case": "current_investment_constrained", "land_case": "low_efficiency", "mature_incremental_cdr_gtco2_yr": 12.164289087530094, "cdr_maturity_year": 2046, "observed_natural_sink_gtc_yr": 6.337383119213805, "permafrost_tau_yr": 48.615630289649076, "first_below_280_year": 2306, "peak_co2_ppm": 444.69476190052376, "peak_warming_c": 1.838627285968552, "land_binding": true}, {"draw": 74, "transition_case": "current_investment_constrained", "land_case": "high_efficiency", "mature_incremental_cdr_gtco2_yr": 13.794036207800525, "cdr_maturity_year": 2050, "observed_natural_sink_gtc_yr": 6.175840665601144, "permafrost_tau_yr": 33.404920615588445, "first_below_280_year": 2180, "peak_co2_ppm": 444.72963393688747, "peak_warming_c": 1.8232811789851373, "land_binding": false}, {"draw": 75, "transition_case": "high_acceleration", "land_case": "high_efficiency", "mature_incremental_cdr_gtco2_yr": 15.630459637042533, "cdr_maturity_year": 2044, "observed_natural_sink_gtc_yr": 6.713870025274959, "permafrost_tau_yr": 53.523922600317675, "first_below_280_year": 2148, "peak_co2_ppm": 437.9624725097127, "peak_warming_c": 1.7830520482047891, "land_binding": false}, {"draw": 76, "transition_case": "natural_turnover", "land_case": "central", "mature_incremental_cdr_gtco2_yr": 12.293824402884155, "cdr_maturity_year": 2044, "observed_natural_sink_gtc_yr": 6.709241068979552, "permafrost_tau_yr": 60.99541303535783, "first_below_280_year": 2310, "peak_co2_ppm": 451.4548642950298, "peak_warming_c": 1.7689292457806363, "land_binding": false}, {"draw": 77, "transition_case": "iea_nze_reference", "land_case": "central", "mature_incremental_cdr_gtco2_yr": 12.848893927896764, "cdr_maturity_year": 2050, "observed_natural_sink_gtc_yr": 6.130866830721647, "permafrost_tau_yr": 64.87170378680115, "first_below_280_year": 2187, "peak_co2_ppm": 440.93447926048407, "peak_warming_c": 1.8174423909644768, "land_binding": false}, {"draw": 78, "transition_case": "current_investment_constrained", "land_case": "central", "mature_incremental_cdr_gtco2_yr": 15.544833841106783, "cdr_maturity_year": 2047, "observed_natural_sink_gtc_yr": 5.886239198190805, "permafrost_tau_yr": 53.69553063247696, "first_below_280_year": 2162, "peak_co2_ppm": 444.36130521255456, "peak_warming_c": 1.8134481397946343, "land_binding": false}, {"draw": 79, "transition_case": "high_acceleration", "land_case": "central", "mature_incremental_cdr_gtco2_yr": 15.250418931459356, "cdr_maturity_year": 2048, "observed_natural_sink_gtc_yr": 6.158579231521878, "permafrost_tau_yr": 50.75497727629583, "first_below_280_year": 2155, "peak_co2_ppm": 439.3054835117949, "peak_warming_c": 1.8050916078925066, "land_binding": false}, {"draw": 80, "transition_case": "current_investment_constrained", "land_case": "central", "mature_incremental_cdr_gtco2_yr": 14.291749914052364, "cdr_maturity_year": 2053, "observed_natural_sink_gtc_yr": 6.050213546982973, "permafrost_tau_yr": 47.1705024451569, "first_below_280_year": 2176, "peak_co2_ppm": 445.17849041277077, "peak_warming_c": 1.8334937617579548, "land_binding": false}, {"draw": 81, "transition_case": "iea_nze_reference", "land_case": "central", "mature_incremental_cdr_gtco2_yr": 13.104801595709358, "cdr_maturity_year": 2047, "observed_natural_sink_gtc_yr": 6.140158098403534, "permafrost_tau_yr": 48.5883046294999, "first_below_280_year": 2182, "peak_co2_ppm": 440.66589089354807, "peak_warming_c": 1.8105158567870752, "land_binding": false}, {"draw": 82, "transition_case": "iea_nze_reference", "land_case": "high_efficiency", "mature_incremental_cdr_gtco2_yr": 13.715848845534381, "cdr_maturity_year": 2048, "observed_natural_sink_gtc_yr": 5.707860168823227, "permafrost_tau_yr": 54.13214002063034, "first_below_280_year": 2175, "peak_co2_ppm": 441.420868768062, "peak_warming_c": 1.8114695737688993, "land_binding": false}, {"draw": 83, "transition_case": "delayed_finance", "land_case": "low_efficiency", "mature_incremental_cdr_gtco2_yr": 15.270109555811771, "cdr_maturity_year": 2044, "observed_natural_sink_gtc_yr": 6.112326359094048, "permafrost_tau_yr": 39.04282636956809, "first_below_280_year": 2255, "peak_co2_ppm": 453.40398146379425, "peak_warming_c": 1.877807626409962, "land_binding": true}, {"draw": 84, "transition_case": "natural_turnover", "land_case": "low_efficiency", "mature_incremental_cdr_gtco2_yr": 14.931203002137057, "cdr_maturity_year": 2048, "observed_natural_sink_gtc_yr": 6.008694904712663, "permafrost_tau_yr": 43.796186268833424, "first_below_280_year": 2383, "peak_co2_ppm": 455.1738364207789, "peak_warming_c": 1.834284865631271, "land_binding": true}, {"draw": 85, "transition_case": "delayed_finance", "land_case": "low_efficiency", "mature_incremental_cdr_gtco2_yr": 15.150316481443353, "cdr_maturity_year": 2052, "observed_natural_sink_gtc_yr": 6.587637428526413, "permafrost_tau_yr": 52.77965643006678, "first_below_280_year": 2260, "peak_co2_ppm": 453.76160634795434, "peak_warming_c": 1.8886457189324237, "land_binding": true}, {"draw": 86, "transition_case": "iea_nze_reference", "land_case": "low_efficiency", "mature_incremental_cdr_gtco2_yr": 15.27065322602112, "cdr_maturity_year": 2049, "observed_natural_sink_gtc_yr": 6.231140153109386, "permafrost_tau_yr": 41.11585799887929, "first_below_280_year": 2233, "peak_co2_ppm": 440.75833287320893, "peak_warming_c": 1.8220093210246227, "land_binding": true}, {"draw": 87, "transition_case": "natural_turnover", "land_case": "low_efficiency", "mature_incremental_cdr_gtco2_yr": 14.634142209406528, "cdr_maturity_year": 2050, "observed_natural_sink_gtc_yr": 5.910128137884676, "permafrost_tau_yr": 46.823711713270505, "first_below_280_year": 2392, "peak_co2_ppm": 456.25727931377037, "peak_warming_c": 1.8432235483009665, "land_binding": true}, {"draw": 88, "transition_case": "iea_nze_reference", "land_case": "central", "mature_incremental_cdr_gtco2_yr": 12.965650914862493, "cdr_maturity_year": 2047, "observed_natural_sink_gtc_yr": 6.38679606723552, "permafrost_tau_yr": 60.907273759079494, "first_below_280_year": 2183, "peak_co2_ppm": 440.2337119545577, "peak_warming_c": 1.8074815829672917, "land_binding": false}, {"draw": 89, "transition_case": "natural_turnover", "land_case": "high_efficiency", "mature_incremental_cdr_gtco2_yr": 12.948442699853592, "cdr_maturity_year": 2047, "observed_natural_sink_gtc_yr": 6.673403751281171, "permafrost_tau_yr": 52.341654437057684, "first_below_280_year": 2295, "peak_co2_ppm": 452.7220152698362, "peak_warming_c": 1.754811330853003, "land_binding": false}, {"draw": 90, "transition_case": "natural_turnover", "land_case": "low_efficiency", "mature_incremental_cdr_gtco2_yr": 14.484774427166837, "cdr_maturity_year": 2046, "observed_natural_sink_gtc_yr": 5.586638871771329, "permafrost_tau_yr": 57.48351819084613, "first_below_280_year": 2396, "peak_co2_ppm": 455.46212699116086, "peak_warming_c": 1.8416333709189834, "land_binding": true}, {"draw": 91, "transition_case": "natural_turnover", "land_case": "central", "mature_incremental_cdr_gtco2_yr": 11.923395791573782, "cdr_maturity_year": 2043, "observed_natural_sink_gtc_yr": 7.025351907556756, "permafrost_tau_yr": 40.77647976147658, "first_below_280_year": 2318, "peak_co2_ppm": 450.7444515365545, "peak_warming_c": 1.7700886780879956, "land_binding": false}, {"draw": 92, "transition_case": "current_investment_constrained", "land_case": "central", "mature_incremental_cdr_gtco2_yr": 13.652242301296376, "cdr_maturity_year": 2044, "observed_natural_sink_gtc_yr": 6.26552395672164, "permafrost_tau_yr": 59.89851707171927, "first_below_280_year": 2179, "peak_co2_ppm": 443.5400054864971, "peak_warming_c": 1.8076887904629306, "land_binding": false}, {"draw": 93, "transition_case": "natural_turnover", "land_case": "central", "mature_incremental_cdr_gtco2_yr": 15.102849672332649, "cdr_maturity_year": 2045, "observed_natural_sink_gtc_yr": 5.930502514715285, "permafrost_tau_yr": 38.88143272399399, "first_below_280_year": 2253, "peak_co2_ppm": 451.51836227688557, "peak_warming_c": 1.742026206900371, "land_binding": false}, {"draw": 94, "transition_case": "iea_nze_reference", "land_case": "low_efficiency", "mature_incremental_cdr_gtco2_yr": 15.252595602664623, "cdr_maturity_year": 2050, "observed_natural_sink_gtc_yr": 5.887849603604389, "permafrost_tau_yr": 53.89224605431863, "first_below_280_year": 2236, "peak_co2_ppm": 441.3907231759938, "peak_warming_c": 1.82703188946323, "land_binding": true}, {"draw": 95, "transition_case": "current_investment_constrained", "land_case": "low_efficiency", "mature_incremental_cdr_gtco2_yr": 15.339709038063873, "cdr_maturity_year": 2043, "observed_natural_sink_gtc_yr": 6.057454264872859, "permafrost_tau_yr": 64.30316988386753, "first_below_280_year": 2241, "peak_co2_ppm": 444.2138363484853, "peak_warming_c": 1.8237172278256446, "land_binding": true}, {"draw": 96, "transition_case": "high_acceleration", "land_case": "central", "mature_incremental_cdr_gtco2_yr": 14.429949049027424, "cdr_maturity_year": 2047, "observed_natural_sink_gtc_yr": 6.0866131222295605, "permafrost_tau_yr": 48.99963700486353, "first_below_280_year": 2164, "peak_co2_ppm": 439.4427106031874, "peak_warming_c": 1.8064493352770423, "land_binding": false}, {"draw": 97, "transition_case": "high_acceleration", "land_case": "central", "mature_incremental_cdr_gtco2_yr": 11.374428805317608, "cdr_maturity_year": 2049, "observed_natural_sink_gtc_yr": 6.805208302774325, "permafrost_tau_yr": 53.6702010913161, "first_below_280_year": 2203, "peak_co2_ppm": 438.7023922311158, "peak_warming_c": 1.8118174715234632, "land_binding": false}, {"draw": 98, "transition_case": "natural_turnover", "land_case": "central", "mature_incremental_cdr_gtco2_yr": 13.946198098929754, "cdr_maturity_year": 2045, "observed_natural_sink_gtc_yr": 6.1610930899976895, "permafrost_tau_yr": 44.32665894149839, "first_below_280_year": 2273, "peak_co2_ppm": 451.8932840422486, "peak_warming_c": 1.754454417603981, "land_binding": false}, {"draw": 99, "transition_case": "iea_nze_reference", "land_case": "low_efficiency", "mature_incremental_cdr_gtco2_yr": 14.81519713751517, "cdr_maturity_year": 2049, "observed_natural_sink_gtc_yr": 5.450234272724977, "permafrost_tau_yr": 42.00188016580752, "first_below_280_year": 2246, "peak_co2_ppm": 442.1778583551741, "peak_warming_c": 1.8328054528954403, "land_binding": true}, {"draw": 100, "transition_case": "natural_turnover", "land_case": "low_efficiency", "mature_incremental_cdr_gtco2_yr": 13.724258376974998, "cdr_maturity_year": 2051, "observed_natural_sink_gtc_yr": 6.273776198060044, "permafrost_tau_yr": 50.198836758941646, "first_below_280_year": null, "peak_co2_ppm": 456.2861537550716, "peak_warming_c": 1.8517966573793518, "land_binding": true}, {"draw": 101, "transition_case": "high_acceleration", "land_case": "low_efficiency", "mature_incremental_cdr_gtco2_yr": 14.962994558423292, "cdr_maturity_year": 2045, "observed_natural_sink_gtc_yr": 5.674300225070981, "permafrost_tau_yr": 44.60584081252313, "first_below_280_year": 2235, "peak_co2_ppm": 440.28721301684004, "peak_warming_c": 1.8213872769194908, "land_binding": true}, {"draw": 102, "transition_case": "delayed_finance", "land_case": "central", "mature_incremental_cdr_gtco2_yr": 14.520873005075655, "cdr_maturity_year": 2050, "observed_natural_sink_gtc_yr": 6.347294806361963, "permafrost_tau_yr": 38.25739691855765, "first_below_280_year": 2182, "peak_co2_ppm": 453.449200696698, "peak_warming_c": 1.8717570661303593, "land_binding": false}, {"draw": 103, "transition_case": "natural_turnover", "land_case": "central", "mature_incremental_cdr_gtco2_yr": 14.723294835957653, "cdr_maturity_year": 2044, "observed_natural_sink_gtc_yr": 6.72261941088282, "permafrost_tau_yr": 39.427275700492594, "first_below_280_year": 2258, "peak_co2_ppm": 449.5322100599765, "peak_warming_c": 1.7331702613825324, "land_binding": false}, {"draw": 104, "transition_case": "current_investment_constrained", "land_case": "central", "mature_incremental_cdr_gtco2_yr": 15.515135060565461, "cdr_maturity_year": 2045, "observed_natural_sink_gtc_yr": 5.5863522066619735, "permafrost_tau_yr": 41.78180873467272, "first_below_280_year": 2161, "peak_co2_ppm": 444.59617692827794, "peak_warming_c": 1.8106856710583723, "land_binding": false}, {"draw": 105, "transition_case": "iea_nze_reference", "land_case": "low_efficiency", "mature_incremental_cdr_gtco2_yr": 13.318389136594053, "cdr_maturity_year": 2042, "observed_natural_sink_gtc_yr": 5.989858184152118, "permafrost_tau_yr": 50.728428989267925, "first_below_280_year": 2268, "peak_co2_ppm": 440.8303742642039, "peak_warming_c": 1.816288164456317, "land_binding": true}, {"draw": 106, "transition_case": "current_investment_constrained", "land_case": "high_efficiency", "mature_incremental_cdr_gtco2_yr": 14.193583363061755, "cdr_maturity_year": 2042, "observed_natural_sink_gtc_yr": 6.003570940131914, "permafrost_tau_yr": 44.35734234214081, "first_below_280_year": 2172, "peak_co2_ppm": 443.44286053562473, "peak_warming_c": 1.796394636569973, "land_binding": false}, {"draw": 107, "transition_case": "current_investment_constrained", "land_case": "central", "mature_incremental_cdr_gtco2_yr": 10.77137985447149, "cdr_maturity_year": 2042, "observed_natural_sink_gtc_yr": 6.9374992039518375, "permafrost_tau_yr": 47.814330028296496, "first_below_280_year": 2225, "peak_co2_ppm": 442.72584530342306, "peak_warming_c": 1.8108082150195117, "land_binding": false}, {"draw": 108, "transition_case": "delayed_finance", "land_case": "high_efficiency", "mature_incremental_cdr_gtco2_yr": 13.274602915546534, "cdr_maturity_year": 2045, "observed_natural_sink_gtc_yr": 6.736678023291999, "permafrost_tau_yr": 51.98222427819424, "first_below_280_year": 2193, "peak_co2_ppm": 451.84519613771295, "peak_warming_c": 1.850989073936502, "land_binding": false}, {"draw": 109, "transition_case": "current_investment_constrained", "land_case": "high_efficiency", "mature_incremental_cdr_gtco2_yr": 13.823465621415227, "cdr_maturity_year": 2043, "observed_natural_sink_gtc_yr": 6.383465280126716, "permafrost_tau_yr": 55.44903021264543, "first_below_280_year": 2176, "peak_co2_ppm": 443.05804561827955, "peak_warming_c": 1.7968251300155715, "land_binding": false}, {"draw": 110, "transition_case": "iea_nze_reference", "land_case": "low_efficiency", "mature_incremental_cdr_gtco2_yr": 15.185682279996563, "cdr_maturity_year": 2050, "observed_natural_sink_gtc_yr": 6.615415694877948, "permafrost_tau_yr": 55.47730397028019, "first_below_280_year": 2235, "peak_co2_ppm": 440.1168551820005, "peak_warming_c": 1.8181409713630199, "land_binding": true}, {"draw": 111, "transition_case": "iea_nze_reference", "land_case": "central", "mature_incremental_cdr_gtco2_yr": 15.198645887278479, "cdr_maturity_year": 2046, "observed_natural_sink_gtc_yr": 6.563511837414045, "permafrost_tau_yr": 49.54011209549519, "first_below_280_year": 2157, "peak_co2_ppm": 439.49675517918126, "peak_warming_c": 1.7943062740590456, "land_binding": false}, {"draw": 112, "transition_case": "iea_nze_reference", "land_case": "central", "mature_incremental_cdr_gtco2_yr": 13.894115473398713, "cdr_maturity_year": 2041, "observed_natural_sink_gtc_yr": 6.238942769999373, "permafrost_tau_yr": 62.28960233852361, "first_below_280_year": 2169, "peak_co2_ppm": 439.5590010944949, "peak_warming_c": 1.7865985479998177, "land_binding": false}, {"draw": 113, "transition_case": "iea_nze_reference", "land_case": "low_efficiency", "mature_incremental_cdr_gtco2_yr": 13.892801021551255, "cdr_maturity_year": 2044, "observed_natural_sink_gtc_yr": 6.825074558873733, "permafrost_tau_yr": 39.66201294118624, "first_below_280_year": 2253, "peak_co2_ppm": 439.5131440413673, "peak_warming_c": 1.8091849102185584, "land_binding": true}, {"draw": 114, "transition_case": "delayed_finance", "land_case": "central", "mature_incremental_cdr_gtco2_yr": 12.916584974982744, "cdr_maturity_year": 2048, "observed_natural_sink_gtc_yr": 6.438277684696231, "permafrost_tau_yr": 43.44778919919786, "first_below_280_year": 2202, "peak_co2_ppm": 453.3885076652301, "peak_warming_c": 1.8724774928268355, "land_binding": false}, {"draw": 115, "transition_case": "delayed_finance", "land_case": "central", "mature_incremental_cdr_gtco2_yr": 14.269609090933177, "cdr_maturity_year": 2048, "observed_natural_sink_gtc_yr": 6.217526023119173, "permafrost_tau_yr": 54.02488309201691, "first_below_280_year": 2183, "peak_co2_ppm": 453.2885119739891, "peak_warming_c": 1.8672464964026212, "land_binding": false}, {"draw": 116, "transition_case": "iea_nze_reference", "land_case": "central", "mature_incremental_cdr_gtco2_yr": 13.990482316506878, "cdr_maturity_year": 2047, "observed_natural_sink_gtc_yr": 6.148639693981075, "permafrost_tau_yr": 52.79270588744927, "first_below_280_year": 2171, "peak_co2_ppm": 440.5109110046129, "peak_warming_c": 1.8066184184918932, "land_binding": false}, {"draw": 117, "transition_case": "current_investment_constrained", "land_case": "high_efficiency", "mature_incremental_cdr_gtco2_yr": 11.374089300952564, "cdr_maturity_year": 2042, "observed_natural_sink_gtc_yr": 6.450209790994344, "permafrost_tau_yr": 61.07869958126759, "first_below_280_year": 2214, "peak_co2_ppm": 443.4229888814609, "peak_warming_c": 1.8073896660590927, "land_binding": false}, {"draw": 118, "transition_case": "current_investment_constrained", "land_case": "central", "mature_incremental_cdr_gtco2_yr": 12.143714769539773, "cdr_maturity_year": 2047, "observed_natural_sink_gtc_yr": 6.19567450288869, "permafrost_tau_yr": 37.76510024019144, "first_below_280_year": 2204, "peak_co2_ppm": 444.6457200886231, "peak_warming_c": 1.827328471515082, "land_binding": false}, {"draw": 119, "transition_case": "natural_turnover", "land_case": "high_efficiency", "mature_incremental_cdr_gtco2_yr": 14.021206702361233, "cdr_maturity_year": 2045, "observed_natural_sink_gtc_yr": 6.261186384076349, "permafrost_tau_yr": 44.15325025921964, "first_below_280_year": 2271, "peak_co2_ppm": 451.6182925131832, "peak_warming_c": 1.7398639476521984, "land_binding": false}, {"draw": 120, "transition_case": "high_acceleration", "land_case": "central", "mature_incremental_cdr_gtco2_yr": 12.39500344657768, "cdr_maturity_year": 2046, "observed_natural_sink_gtc_yr": 6.354949649417586, "permafrost_tau_yr": 45.59980995719206, "first_below_280_year": 2188, "peak_co2_ppm": 439.1623778026112, "peak_warming_c": 1.808152281459633, "land_binding": false}, {"draw": 121, "transition_case": "iea_nze_reference", "land_case": "central", "mature_incremental_cdr_gtco2_yr": 14.717230849544752, "cdr_maturity_year": 2050, "observed_natural_sink_gtc_yr": 5.905257779541159, "permafrost_tau_yr": 50.343500425022285, "first_below_280_year": 2164, "peak_co2_ppm": 441.11036889140337, "peak_warming_c": 1.8142689302336945, "land_binding": false}, {"draw": 122, "transition_case": "current_investment_constrained", "land_case": "high_efficiency", "mature_incremental_cdr_gtco2_yr": 14.694504019271843, "cdr_maturity_year": 2042, "observed_natural_sink_gtc_yr": 6.522010916721269, "permafrost_tau_yr": 43.02085787334186, "first_below_280_year": 2165, "peak_co2_ppm": 442.3144191805334, "peak_warming_c": 1.7869256834634077, "land_binding": false}, {"draw": 123, "transition_case": "high_acceleration", "land_case": "central", "mature_incremental_cdr_gtco2_yr": 13.114209476588861, "cdr_maturity_year": 2047, "observed_natural_sink_gtc_yr": 5.935065221928915, "permafrost_tau_yr": 50.658977318228196, "first_below_280_year": 2180, "peak_co2_ppm": 439.84267188388924, "peak_warming_c": 1.8126796651614496, "land_binding": false}, {"draw": 124, "transition_case": "iea_nze_reference", "land_case": "central", "mature_incremental_cdr_gtco2_yr": 10.813886148325123, "cdr_maturity_year": 2046, "observed_natural_sink_gtc_yr": 6.481433561637919, "permafrost_tau_yr": 56.03499304983855, "first_below_280_year": 2220, "peak_co2_ppm": 440.3154550818148, "peak_warming_c": 1.8130138698618852, "land_binding": false}, {"draw": 125, "transition_case": "iea_nze_reference", "land_case": "central", "mature_incremental_cdr_gtco2_yr": 13.682233583945928, "cdr_maturity_year": 2048, "observed_natural_sink_gtc_yr": 6.231308763889567, "permafrost_tau_yr": 35.1331066239337, "first_below_280_year": 2175, "peak_co2_ppm": 440.5497364241211, "peak_warming_c": 1.8105350117252428, "land_binding": false}, {"draw": 126, "transition_case": "delayed_finance", "land_case": "central", "mature_incremental_cdr_gtco2_yr": 13.43208710865995, "cdr_maturity_year": 2049, "observed_natural_sink_gtc_yr": 5.716657228048999, "permafrost_tau_yr": 54.118208172253006, "first_below_280_year": 2199, "peak_co2_ppm": 454.8362884788202, "peak_warming_c": 1.881169099922374, "land_binding": false}, {"draw": 127, "transition_case": "delayed_finance", "land_case": "high_efficiency", "mature_incremental_cdr_gtco2_yr": 14.321657039784863, "cdr_maturity_year": 2043, "observed_natural_sink_gtc_yr": 6.778395678858596, "permafrost_tau_yr": 46.23531517694403, "first_below_280_year": 2181, "peak_co2_ppm": 450.7186188373963, "peak_warming_c": 1.8375559760404006, "land_binding": false}, {"draw": 128, "transition_case": "high_acceleration", "land_case": "central", "mature_incremental_cdr_gtco2_yr": 14.920738492106054, "cdr_maturity_year": 2048, "observed_natural_sink_gtc_yr": 6.711988378831748, "permafrost_tau_yr": 40.65517026166597, "first_below_280_year": 2158, "peak_co2_ppm": 438.4412876427933, "peak_warming_c": 1.8000222229090777, "land_binding": false}, {"draw": 129, "transition_case": "delayed_finance", "land_case": "central", "mature_incremental_cdr_gtco2_yr": 14.942216101762039, "cdr_maturity_year": 2043, "observed_natural_sink_gtc_yr": 6.176290239928492, "permafrost_tau_yr": 36.9683756223223, "first_below_280_year": 2173, "peak_co2_ppm": 451.68489132591867, "peak_warming_c": 1.8472753191366404, "land_binding": false}, {"draw": 130, "transition_case": "natural_turnover", "land_case": "central", "mature_incremental_cdr_gtco2_yr": 13.916408295479576, "cdr_maturity_year": 2044, "observed_natural_sink_gtc_yr": 6.095289575071611, "permafrost_tau_yr": 48.31196250118303, "first_below_280_year": 2275, "peak_co2_ppm": 451.4057743772189, "peak_warming_c": 1.7524548298217881, "land_binding": false}, {"draw": 131, "transition_case": "iea_nze_reference", "land_case": "central", "mature_incremental_cdr_gtco2_yr": 11.949269246280336, "cdr_maturity_year": 2045, "observed_natural_sink_gtc_yr": 6.424057499071087, "permafrost_tau_yr": 64.15824488227479, "first_below_280_year": 2197, "peak_co2_ppm": 440.12845371393865, "peak_warming_c": 1.8059356702386702, "land_binding": false}, {"draw": 132, "transition_case": "iea_nze_reference", "land_case": "central", "mature_incremental_cdr_gtco2_yr": 13.896905936006888, "cdr_maturity_year": 2043, "observed_natural_sink_gtc_yr": 6.481009671833782, "permafrost_tau_yr": 68.34438259080504, "first_below_280_year": 2168, "peak_co2_ppm": 439.4338571670596, "peak_warming_c": 1.7904200528999101, "land_binding": false}, {"draw": 133, "transition_case": "delayed_finance", "land_case": "high_efficiency", "mature_incremental_cdr_gtco2_yr": 14.857392563318363, "cdr_maturity_year": 2042, "observed_natural_sink_gtc_yr": 6.095446432756472, "permafrost_tau_yr": 51.605104125082185, "first_below_280_year": 2175, "peak_co2_ppm": 451.4423542001346, "peak_warming_c": 1.8386018945785314, "land_binding": false}, {"draw": 134, "transition_case": "natural_turnover", "land_case": "high_efficiency", "mature_incremental_cdr_gtco2_yr": 10.775215403628515, "cdr_maturity_year": 2049, "observed_natural_sink_gtc_yr": 6.07615380760505, "permafrost_tau_yr": 58.71440499020856, "first_below_280_year": 2361, "peak_co2_ppm": 457.0418340059873, "peak_warming_c": 1.8017919646379346, "land_binding": false}, {"draw": 135, "transition_case": "high_acceleration", "land_case": "central", "mature_incremental_cdr_gtco2_yr": 12.621812052319777, "cdr_maturity_year": 2044, "observed_natural_sink_gtc_yr": 6.872237094677786, "permafrost_tau_yr": 44.46342648826386, "first_below_280_year": 2182, "peak_co2_ppm": 438.11384679058574, "peak_warming_c": 1.7963411258885018, "land_binding": false}, {"draw": 136, "transition_case": "iea_nze_reference", "land_case": "central", "mature_incremental_cdr_gtco2_yr": 12.218308315152164, "cdr_maturity_year": 2050, "observed_natural_sink_gtc_yr": 5.788382261152904, "permafrost_tau_yr": 38.27932227156303, "first_below_280_year": 2198, "peak_co2_ppm": 441.6738605609604, "peak_warming_c": 1.825330620671315, "land_binding": false}, {"draw": 137, "transition_case": "natural_turnover", "land_case": "central", "mature_incremental_cdr_gtco2_yr": 15.71201864461019, "cdr_maturity_year": 2048, "observed_natural_sink_gtc_yr": 6.0587754965609, "permafrost_tau_yr": 61.317727136828324, "first_below_280_year": 2247, "peak_co2_ppm": 452.3273117301724, "peak_warming_c": 1.741489262149228, "land_binding": true}, {"draw": 138, "transition_case": "high_acceleration", "land_case": "high_efficiency", "mature_incremental_cdr_gtco2_yr": 15.31359183748774, "cdr_maturity_year": 2044, "observed_natural_sink_gtc_yr": 6.880340427018798, "permafrost_tau_yr": 56.971528432194035, "first_below_280_year": 2152, "peak_co2_ppm": 437.7252676133571, "peak_warming_c": 1.7821398163387414, "land_binding": false}, {"draw": 139, "transition_case": "natural_turnover", "land_case": "high_efficiency", "mature_incremental_cdr_gtco2_yr": 13.904065134950159, "cdr_maturity_year": 2041, "observed_natural_sink_gtc_yr": 6.216039146892127, "permafrost_tau_yr": 56.848998415221274, "first_below_280_year": 2273, "peak_co2_ppm": 449.1022319638385, "peak_warming_c": 1.7291488437543354, "land_binding": false}, {"draw": 140, "transition_case": "iea_nze_reference", "land_case": "low_efficiency", "mature_incremental_cdr_gtco2_yr": 15.074273662432843, "cdr_maturity_year": 2045, "observed_natural_sink_gtc_yr": 6.767982844719532, "permafrost_tau_yr": 57.497148252756254, "first_below_280_year": 2232, "peak_co2_ppm": 439.53322306468476, "peak_warming_c": 1.8076493918160317, "land_binding": true}, {"draw": 141, "transition_case": "natural_turnover", "land_case": "central", "mature_incremental_cdr_gtco2_yr": 11.737435118118933, "cdr_maturity_year": 2048, "observed_natural_sink_gtc_yr": 6.493964674455232, "permafrost_tau_yr": 42.39827725968894, "first_below_280_year": 2328, "peak_co2_ppm": 454.8129737825202, "peak_warming_c": 1.792686833715308, "land_binding": false}, {"draw": 142, "transition_case": "high_acceleration", "land_case": "central", "mature_incremental_cdr_gtco2_yr": 13.277964240253926, "cdr_maturity_year": 2053, "observed_natural_sink_gtc_yr": 6.222086668302857, "permafrost_tau_yr": 54.40939262039433, "first_below_280_year": 2181, "peak_co2_ppm": 439.67453414563647, "peak_warming_c": 1.8190416389839437, "land_binding": false}, {"draw": 143, "transition_case": "iea_nze_reference", "land_case": "low_efficiency", "mature_incremental_cdr_gtco2_yr": 14.74633152780157, "cdr_maturity_year": 2046, "observed_natural_sink_gtc_yr": 5.733318999130212, "permafrost_tau_yr": 49.7277451988621, "first_below_280_year": 2243, "peak_co2_ppm": 441.4725719242123, "peak_warming_c": 1.8237852818588203, "land_binding": true}, {"draw": 144, "transition_case": "current_investment_constrained", "land_case": "central", "mature_incremental_cdr_gtco2_yr": 12.564798058283962, "cdr_maturity_year": 2043, "observed_natural_sink_gtc_yr": 6.621495272032753, "permafrost_tau_yr": 40.34962349687413, "first_below_280_year": 2194, "peak_co2_ppm": 443.0171833516024, "peak_warming_c": 1.8073148084213295, "land_binding": false}, {"draw": 145, "transition_case": "delayed_finance", "land_case": "central", "mature_incremental_cdr_gtco2_yr": 15.413286946197594, "cdr_maturity_year": 2042, "observed_natural_sink_gtc_yr": 6.430520683031281, "permafrost_tau_yr": 61.53523961907677, "first_below_280_year": 2168, "peak_co2_ppm": 450.5141384366776, "peak_warming_c": 1.8358073986504206, "land_binding": false}, {"draw": 146, "transition_case": "iea_nze_reference", "land_case": "low_efficiency", "mature_incremental_cdr_gtco2_yr": 14.089250738470735, "cdr_maturity_year": 2043, "observed_natural_sink_gtc_yr": 6.054758110493538, "permafrost_tau_yr": 46.91595132481649, "first_below_280_year": 2251, "peak_co2_ppm": 440.7308866056738, "peak_warming_c": 1.8154062473510966, "land_binding": true}, {"draw": 147, "transition_case": "current_investment_constrained", "land_case": "central", "mature_incremental_cdr_gtco2_yr": 14.086382785651299, "cdr_maturity_year": 2044, "observed_natural_sink_gtc_yr": 6.345099889745164, "permafrost_tau_yr": 53.684287710173024, "first_below_280_year": 2176, "peak_co2_ppm": 443.2843971624716, "peak_warming_c": 1.804493054454993, "land_binding": false}, {"draw": 148, "transition_case": "natural_turnover", "land_case": "central", "mature_incremental_cdr_gtco2_yr": 15.668740709827912, "cdr_maturity_year": 2042, "observed_natural_sink_gtc_yr": 6.484850281984803, "permafrost_tau_yr": 46.75002988807514, "first_below_280_year": 2241, "peak_co2_ppm": 447.98532087942453, "peak_warming_c": 1.7161014203240976, "land_binding": true}, {"draw": 149, "transition_case": "iea_nze_reference", "land_case": "central", "mature_incremental_cdr_gtco2_yr": 13.872067394032616, "cdr_maturity_year": 2041, "observed_natural_sink_gtc_yr": 6.240173991868103, "permafrost_tau_yr": 37.77064133803457, "first_below_280_year": 2168, "peak_co2_ppm": 439.59866340833514, "peak_warming_c": 1.7878886471841393, "land_binding": false}, {"draw": 150, "transition_case": "current_investment_constrained", "land_case": "low_efficiency", "mature_incremental_cdr_gtco2_yr": 14.976029479315631, "cdr_maturity_year": 2045, "observed_natural_sink_gtc_yr": 5.975724588242569, "permafrost_tau_yr": 58.598124571210036, "first_below_280_year": 2247, "peak_co2_ppm": 444.72955580818757, "peak_warming_c": 1.8309571340868918, "land_binding": true}, {"draw": 151, "transition_case": "high_acceleration", "land_case": "low_efficiency", "mature_incremental_cdr_gtco2_yr": 14.388877597433236, "cdr_maturity_year": 2041, "observed_natural_sink_gtc_yr": 6.372888323805402, "permafrost_tau_yr": 59.910507108027176, "first_below_280_year": 2239, "peak_co2_ppm": 438.8411711370019, "peak_warming_c": 1.8047811311042614, "land_binding": true}, {"draw": 152, "transition_case": "current_investment_constrained", "land_case": "low_efficiency", "mature_incremental_cdr_gtco2_yr": 10.593628962686312, "cdr_maturity_year": 2042, "observed_natural_sink_gtc_yr": 6.810332020947178, "permafrost_tau_yr": 37.215167267102856, "first_below_280_year": 2351, "peak_co2_ppm": 443.63238367743645, "peak_warming_c": 1.8324524897141259, "land_binding": true}, {"draw": 153, "transition_case": "iea_nze_reference", "land_case": "central", "mature_incremental_cdr_gtco2_yr": 15.162189037382838, "cdr_maturity_year": 2050, "observed_natural_sink_gtc_yr": 6.207949876897675, "permafrost_tau_yr": 48.35760977065324, "first_below_280_year": 2159, "peak_co2_ppm": 440.52304460415286, "peak_warming_c": 1.8090329364673734, "land_binding": false}, {"draw": 154, "transition_case": "natural_turnover", "land_case": "high_efficiency", "mature_incremental_cdr_gtco2_yr": 15.296396578008652, "cdr_maturity_year": 2048, "observed_natural_sink_gtc_yr": 7.027577616542361, "permafrost_tau_yr": 46.048778649205694, "first_below_280_year": 2248, "peak_co2_ppm": 450.6633634464654, "peak_warming_c": 1.723587387296421, "land_binding": false}, {"draw": 155, "transition_case": "natural_turnover", "land_case": "central", "mature_incremental_cdr_gtco2_yr": 14.676262148987966, "cdr_maturity_year": 2049, "observed_natural_sink_gtc_yr": 6.0923181433742295, "permafrost_tau_yr": 65.21586863961777, "first_below_280_year": 2263, "peak_co2_ppm": 453.507604306742, "peak_warming_c": 1.7567433805510508, "land_binding": false}, {"draw": 156, "transition_case": "iea_nze_reference", "land_case": "central", "mature_incremental_cdr_gtco2_yr": 13.57126624285177, "cdr_maturity_year": 2046, "observed_natural_sink_gtc_yr": 6.634586011122449, "permafrost_tau_yr": 58.156295070972234, "first_below_280_year": 2174, "peak_co2_ppm": 439.6133107700415, "peak_warming_c": 1.7993525149146972, "land_binding": false}, {"draw": 157, "transition_case": "current_investment_constrained", "land_case": "high_efficiency", "mature_incremental_cdr_gtco2_yr": 14.325424174054696, "cdr_maturity_year": 2044, "observed_natural_sink_gtc_yr": 6.553028335987034, "permafrost_tau_yr": 38.83544199156255, "first_below_280_year": 2170, "peak_co2_ppm": 442.872642009341, "peak_warming_c": 1.7963751170487106, "land_binding": false}, {"draw": 158, "transition_case": "iea_nze_reference", "land_case": "high_efficiency", "mature_incremental_cdr_gtco2_yr": 14.999794476717746, "cdr_maturity_year": 2050, "observed_natural_sink_gtc_yr": 6.412657558313173, "permafrost_tau_yr": 57.628087263212414, "first_below_280_year": 2161, "peak_co2_ppm": 440.16910730939685, "peak_warming_c": 1.8024129120567995, "land_binding": false}, {"draw": 159, "transition_case": "iea_nze_reference", "land_case": "central", "mature_incremental_cdr_gtco2_yr": 13.649888306803703, "cdr_maturity_year": 2043, "observed_natural_sink_gtc_yr": 6.684830374873776, "permafrost_tau_yr": 50.15607699011444, "first_below_280_year": 2173, "peak_co2_ppm": 439.14936304362914, "peak_warming_c": 1.7896966383949429, "land_binding": false}, {"draw": 160, "transition_case": "iea_nze_reference", "land_case": "central", "mature_incremental_cdr_gtco2_yr": 13.559463477781513, "cdr_maturity_year": 2043, "observed_natural_sink_gtc_yr": 6.396023495094541, "permafrost_tau_yr": 66.03834751931967, "first_below_280_year": 2172, "peak_co2_ppm": 439.64705552148985, "peak_warming_c": 1.7930177528042546, "land_binding": false}, {"draw": 161, "transition_case": "iea_nze_reference", "land_case": "central", "mature_incremental_cdr_gtco2_yr": 15.034170340262555, "cdr_maturity_year": 2041, "observed_natural_sink_gtc_yr": 5.651156855659215, "permafrost_tau_yr": 40.81839347980393, "first_below_280_year": 2159, "peak_co2_ppm": 440.39293962752583, "peak_warming_c": 1.7892135359470098, "land_binding": false}, {"draw": 162, "transition_case": "high_acceleration", "land_case": "central", "mature_incremental_cdr_gtco2_yr": 11.110300100778012, "cdr_maturity_year": 2041, "observed_natural_sink_gtc_yr": 5.986042252624693, "permafrost_tau_yr": 40.01770834967252, "first_below_280_year": 2209, "peak_co2_ppm": 439.50084411557873, "peak_warming_c": 1.8050859814938804, "land_binding": false}, {"draw": 163, "transition_case": "natural_turnover", "land_case": "central", "mature_incremental_cdr_gtco2_yr": 15.176732237055173, "cdr_maturity_year": 2049, "observed_natural_sink_gtc_yr": 6.8431307046752625, "permafrost_tau_yr": 54.931974031845115, "first_below_280_year": 2251, "peak_co2_ppm": 451.59814000235906, "peak_warming_c": 1.7413008335020865, "land_binding": false}, {"draw": 164, "transition_case": "current_investment_constrained", "land_case": "low_efficiency", "mature_incremental_cdr_gtco2_yr": 12.477426945347851, "cdr_maturity_year": 2049, "observed_natural_sink_gtc_yr": 6.084112248539877, "permafrost_tau_yr": 61.52967627351428, "first_below_280_year": 2302, "peak_co2_ppm": 445.3953337205472, "peak_warming_c": 1.8455787158972854, "land_binding": true}, {"draw": 165, "transition_case": "current_investment_constrained", "land_case": "central", "mature_incremental_cdr_gtco2_yr": 11.74671189295021, "cdr_maturity_year": 2047, "observed_natural_sink_gtc_yr": 6.6284696189423915, "permafrost_tau_yr": 45.28619169701595, "first_below_280_year": 2209, "peak_co2_ppm": 443.88892042647717, "peak_warming_c": 1.8233220142239266, "land_binding": false}, {"draw": 166, "transition_case": "delayed_finance", "land_case": "central", "mature_incremental_cdr_gtco2_yr": 12.98121567376746, "cdr_maturity_year": 2046, "observed_natural_sink_gtc_yr": 5.6865141493752125, "permafrost_tau_yr": 46.96280794094807, "first_below_280_year": 2203, "peak_co2_ppm": 454.38846737930965, "peak_warming_c": 1.8750698344291508, "land_binding": false}, {"draw": 167, "transition_case": "iea_nze_reference", "land_case": "low_efficiency", "mature_incremental_cdr_gtco2_yr": 15.090431085577194, "cdr_maturity_year": 2043, "observed_natural_sink_gtc_yr": 6.565474372745081, "permafrost_tau_yr": 60.26294719878176, "first_below_280_year": 2232, "peak_co2_ppm": 439.6972794357827, "peak_warming_c": 1.805387026102873, "land_binding": true}, {"draw": 168, "transition_case": "current_investment_constrained", "land_case": "high_efficiency", "mature_incremental_cdr_gtco2_yr": 12.321141876716407, "cdr_maturity_year": 2048, "observed_natural_sink_gtc_yr": 6.81076902861749, "permafrost_tau_yr": 43.877305311545086, "first_below_280_year": 2199, "peak_co2_ppm": 443.53999944888426, "peak_warming_c": 1.816020564460496, "land_binding": false}, {"draw": 169, "transition_case": "iea_nze_reference", "land_case": "central", "mature_incremental_cdr_gtco2_yr": 15.029045500674526, "cdr_maturity_year": 2047, "observed_natural_sink_gtc_yr": 5.593247506578025, "permafrost_tau_yr": 50.717039135567575, "first_below_280_year": 2162, "peak_co2_ppm": 441.34221790698484, "peak_warming_c": 1.8095145278282516, "land_binding": false}, {"draw": 170, "transition_case": "delayed_finance", "land_case": "low_efficiency", "mature_incremental_cdr_gtco2_yr": 12.944334933093511, "cdr_maturity_year": 2050, "observed_natural_sink_gtc_yr": 5.730705599105762, "permafrost_tau_yr": 56.96626533948174, "first_below_280_year": 2308, "peak_co2_ppm": 455.7020343698247, "peak_warming_c": 1.902452354072966, "land_binding": true}, {"draw": 171, "transition_case": "iea_nze_reference", "land_case": "low_efficiency", "mature_incremental_cdr_gtco2_yr": 14.546176418102565, "cdr_maturity_year": 2045, "observed_natural_sink_gtc_yr": 6.336794724521908, "permafrost_tau_yr": 49.0381930770803, "first_below_280_year": 2244, "peak_co2_ppm": 440.3548158688788, "peak_warming_c": 1.814796171443749, "land_binding": true}, {"draw": 172, "transition_case": "natural_turnover", "land_case": "central", "mature_incremental_cdr_gtco2_yr": 14.15671646182316, "cdr_maturity_year": 2049, "observed_natural_sink_gtc_yr": 5.890830827264382, "permafrost_tau_yr": 47.803334405337296, "first_below_280_year": 2273, "peak_co2_ppm": 454.450454933819, "peak_warming_c": 1.7672810504467669, "land_binding": false}, {"draw": 173, "transition_case": "iea_nze_reference", "land_case": "central", "mature_incremental_cdr_gtco2_yr": 11.95695414452523, "cdr_maturity_year": 2042, "observed_natural_sink_gtc_yr": 6.576811179780605, "permafrost_tau_yr": 47.764641655231046, "first_below_280_year": 2195, "peak_co2_ppm": 439.51664098404217, "peak_warming_c": 1.795885517420956, "land_binding": false}, {"draw": 174, "transition_case": "delayed_finance", "land_case": "central", "mature_incremental_cdr_gtco2_yr": 13.724798517560663, "cdr_maturity_year": 2046, "observed_natural_sink_gtc_yr": 6.021333755170658, "permafrost_tau_yr": 62.02982274250489, "first_below_280_year": 2191, "peak_co2_ppm": 453.35499214261324, "peak_warming_c": 1.8656185958405538, "land_binding": false}, {"draw": 175, "transition_case": "iea_nze_reference", "land_case": "central", "mature_incremental_cdr_gtco2_yr": 12.87703527967741, "cdr_maturity_year": 2043, "observed_natural_sink_gtc_yr": 6.539083695007431, "permafrost_tau_yr": 54.12050989969945, "first_below_280_year": 2182, "peak_co2_ppm": 439.53893928340284, "peak_warming_c": 1.7947301194969227, "land_binding": false}, {"draw": 176, "transition_case": "current_investment_constrained", "land_case": "central", "mature_incremental_cdr_gtco2_yr": 13.4544637915144, "cdr_maturity_year": 2044, "observed_natural_sink_gtc_yr": 6.256215552372532, "permafrost_tau_yr": 60.60959275629065, "first_below_280_year": 2183, "peak_co2_ppm": 443.6101326413361, "peak_warming_c": 1.8089006448297071, "land_binding": false}, {"draw": 177, "transition_case": "natural_turnover", "land_case": "central", "mature_incremental_cdr_gtco2_yr": 14.812759507325069, "cdr_maturity_year": 2042, "observed_natural_sink_gtc_yr": 6.363410077151942, "permafrost_tau_yr": 47.254254646301945, "first_below_280_year": 2255, "peak_co2_ppm": 448.8482062026123, "peak_warming_c": 1.7295467416021348, "land_binding": false}, {"draw": 178, "transition_case": "delayed_finance", "land_case": "high_efficiency", "mature_incremental_cdr_gtco2_yr": 11.869441321211049, "cdr_maturity_year": 2047, "observed_natural_sink_gtc_yr": 6.4572200508231585, "permafrost_tau_yr": 52.70082051647169, "first_below_280_year": 2218, "peak_co2_ppm": 453.4956303691099, "peak_warming_c": 1.8686185307924235, "land_binding": false}, {"draw": 179, "transition_case": "natural_turnover", "land_case": "central", "mature_incremental_cdr_gtco2_yr": 11.505355798670214, "cdr_maturity_year": 2044, "observed_natural_sink_gtc_yr": 5.444503938027728, "permafrost_tau_yr": 64.48924797697451, "first_below_280_year": 2337, "peak_co2_ppm": 455.02382223623255, "peak_warming_c": 1.8001882353431105, "land_binding": false}, {"draw": 180, "transition_case": "natural_turnover", "land_case": "central", "mature_incremental_cdr_gtco2_yr": 13.230880233234808, "cdr_maturity_year": 2045, "observed_natural_sink_gtc_yr": 6.256255268278493, "permafrost_tau_yr": 50.43328757027132, "first_below_280_year": 2289, "peak_co2_ppm": 452.23465860149963, "peak_warming_c": 1.7633847357562447, "land_binding": false}, {"draw": 181, "transition_case": "high_acceleration", "land_case": "central", "mature_incremental_cdr_gtco2_yr": 13.93927594980353, "cdr_maturity_year": 2049, "observed_natural_sink_gtc_yr": 6.019262207935237, "permafrost_tau_yr": 53.25360040146893, "first_below_280_year": 2169, "peak_co2_ppm": 439.7420137786237, "peak_warming_c": 1.8129162831576, "land_binding": false}, {"draw": 182, "transition_case": "delayed_finance", "land_case": "low_efficiency", "mature_incremental_cdr_gtco2_yr": 15.15790263299019, "cdr_maturity_year": 2053, "observed_natural_sink_gtc_yr": 6.075519663354492, "permafrost_tau_yr": 49.66546733324928, "first_below_280_year": 2261, "peak_co2_ppm": 454.909515525998, "peak_warming_c": 1.896820064793225, "land_binding": true}, {"draw": 183, "transition_case": "delayed_finance", "land_case": "central", "mature_incremental_cdr_gtco2_yr": 15.38684753335792, "cdr_maturity_year": 2050, "observed_natural_sink_gtc_yr": 6.549405946454321, "permafrost_tau_yr": 60.937241109446724, "first_below_280_year": 2172, "peak_co2_ppm": 452.6672154080719, "peak_warming_c": 1.8636943958864391, "land_binding": false}, {"draw": 184, "transition_case": "delayed_finance", "land_case": "central", "mature_incremental_cdr_gtco2_yr": 13.419151579717308, "cdr_maturity_year": 2044, "observed_natural_sink_gtc_yr": 6.717258966899927, "permafrost_tau_yr": 51.23118841209326, "first_below_280_year": 2192, "peak_co2_ppm": 451.5052446248907, "peak_warming_c": 1.8525830182981324, "land_binding": false}, {"draw": 185, "transition_case": "current_investment_constrained", "land_case": "central", "mature_incremental_cdr_gtco2_yr": 11.450904433221513, "cdr_maturity_year": 2048, "observed_natural_sink_gtc_yr": 6.439718546583583, "permafrost_tau_yr": 45.24472241837484, "first_below_280_year": 2216, "peak_co2_ppm": 444.482590509616, "peak_warming_c": 1.8296637687508093, "land_binding": false}, {"draw": 186, "transition_case": "delayed_finance", "land_case": "central", "mature_incremental_cdr_gtco2_yr": 12.006341958660695, "cdr_maturity_year": 2046, "observed_natural_sink_gtc_yr": 6.308937619375382, "permafrost_tau_yr": 54.519844126432524, "first_below_280_year": 2217, "peak_co2_ppm": 453.49993058724624, "peak_warming_c": 1.8725970528236116, "land_binding": false}, {"draw": 187, "transition_case": "natural_turnover", "land_case": "low_efficiency", "mature_incremental_cdr_gtco2_yr": 12.186510085577725, "cdr_maturity_year": 2043, "observed_natural_sink_gtc_yr": 5.8363525087840085, "permafrost_tau_yr": 65.43179949317353, "first_below_280_year": null, "peak_co2_ppm": 455.30296758757584, "peak_warming_c": 1.8665420822347718, "land_binding": true}, {"draw": 188, "transition_case": "iea_nze_reference", "land_case": "central", "mature_incremental_cdr_gtco2_yr": 13.197752306981723, "cdr_maturity_year": 2045, "observed_natural_sink_gtc_yr": 6.161743246437433, "permafrost_tau_yr": 48.69627819025353, "first_below_280_year": 2180, "peak_co2_ppm": 440.4066501471734, "peak_warming_c": 1.804248909987501, "land_binding": false}, {"draw": 189, "transition_case": "current_investment_constrained", "land_case": "low_efficiency", "mature_incremental_cdr_gtco2_yr": 14.943050350540032, "cdr_maturity_year": 2048, "observed_natural_sink_gtc_yr": 5.708737441937314, "permafrost_tau_yr": 43.78185542840384, "first_below_280_year": 2250, "peak_co2_ppm": 445.67562509125526, "peak_warming_c": 1.841867765762638, "land_binding": true}, {"draw": 190, "transition_case": "current_investment_constrained", "land_case": "central", "mature_incremental_cdr_gtco2_yr": 14.445725310766765, "cdr_maturity_year": 2049, "observed_natural_sink_gtc_yr": 5.916200462364054, "permafrost_tau_yr": 57.38671124655488, "first_below_280_year": 2173, "peak_co2_ppm": 444.84601855101664, "peak_warming_c": 1.8244884212653985, "land_binding": false}, {"draw": 191, "transition_case": "current_investment_constrained", "land_case": "low_efficiency", "mature_incremental_cdr_gtco2_yr": 14.894648516180386, "cdr_maturity_year": 2047, "observed_natural_sink_gtc_yr": 6.559528519865495, "permafrost_tau_yr": 56.12858200314669, "first_below_280_year": 2248, "peak_co2_ppm": 443.8751271274474, "peak_warming_c": 1.8285277593231462, "land_binding": true}, {"draw": 192, "transition_case": "delayed_finance", "land_case": "central", "mature_incremental_cdr_gtco2_yr": 15.006906138185913, "cdr_maturity_year": 2043, "observed_natural_sink_gtc_yr": 6.689965339291756, "permafrost_tau_yr": 58.543126025818594, "first_below_280_year": 2172, "peak_co2_ppm": 450.5772305806031, "peak_warming_c": 1.8391738822209929, "land_binding": false}, {"draw": 193, "transition_case": "natural_turnover", "land_case": "central", "mature_incremental_cdr_gtco2_yr": 15.437635178331233, "cdr_maturity_year": 2043, "observed_natural_sink_gtc_yr": 5.701073532195883, "permafrost_tau_yr": 48.34187574908091, "first_below_280_year": 2250, "peak_co2_ppm": 450.4541543316989, "peak_warming_c": 1.7332204029895821, "land_binding": false}, {"draw": 194, "transition_case": "natural_turnover", "land_case": "central", "mature_incremental_cdr_gtco2_yr": 15.33558587733581, "cdr_maturity_year": 2045, "observed_natural_sink_gtc_yr": 6.069376539744603, "permafrost_tau_yr": 52.458710551968366, "first_below_280_year": 2250, "peak_co2_ppm": 450.969762620616, "peak_warming_c": 1.7360071080217834, "land_binding": false}, {"draw": 195, "transition_case": "current_investment_constrained", "land_case": "central", "mature_incremental_cdr_gtco2_yr": 13.5429531924579, "cdr_maturity_year": 2043, "observed_natural_sink_gtc_yr": 6.515144551428063, "permafrost_tau_yr": 58.85755936738006, "first_below_280_year": 2179, "peak_co2_ppm": 442.88510197325957, "peak_warming_c": 1.8017829121589137, "land_binding": false}, {"draw": 196, "transition_case": "iea_nze_reference", "land_case": "low_efficiency", "mature_incremental_cdr_gtco2_yr": 14.89569952149866, "cdr_maturity_year": 2046, "observed_natural_sink_gtc_yr": 6.062121467516964, "permafrost_tau_yr": 47.832738305342005, "first_below_280_year": 2240, "peak_co2_ppm": 440.8806061588207, "peak_warming_c": 1.8193719917245568, "land_binding": true}, {"draw": 197, "transition_case": "iea_nze_reference", "land_case": "central", "mature_incremental_cdr_gtco2_yr": 15.6656621030869, "cdr_maturity_year": 2044, "observed_natural_sink_gtc_yr": 6.5837739229946735, "permafrost_tau_yr": 38.50546982148212, "first_below_280_year": 2152, "peak_co2_ppm": 439.15603370994745, "peak_warming_c": 1.7863083945196394, "land_binding": true}, {"draw": 198, "transition_case": "high_acceleration", "land_case": "central", "mature_incremental_cdr_gtco2_yr": 14.276020142545914, "cdr_maturity_year": 2045, "observed_natural_sink_gtc_yr": 6.555569476077198, "permafrost_tau_yr": 45.890172362693406, "first_below_280_year": 2162, "peak_co2_ppm": 438.515241355963, "peak_warming_c": 1.796638229943114, "land_binding": false}, {"draw": 199, "transition_case": "current_investment_constrained", "land_case": "central", "mature_incremental_cdr_gtco2_yr": 13.750077391760836, "cdr_maturity_year": 2044, "observed_natural_sink_gtc_yr": 6.25459031610561, "permafrost_tau_yr": 48.15924052711706, "first_below_280_year": 2179, "peak_co2_ppm": 443.5605204008268, "peak_warming_c": 1.8078343726994488, "land_binding": false}, {"draw": 200, "transition_case": "high_acceleration", "land_case": "central", "mature_incremental_cdr_gtco2_yr": 13.143882899060822, "cdr_maturity_year": 2042, "observed_natural_sink_gtc_yr": 5.59673144455362, "permafrost_tau_yr": 50.61283685994672, "first_below_280_year": 2177, "peak_co2_ppm": 439.94137658402553, "peak_warming_c": 1.8034733772878788, "land_binding": false}, {"draw": 201, "transition_case": "iea_nze_reference", "land_case": "high_efficiency", "mature_incremental_cdr_gtco2_yr": 12.603062813674892, "cdr_maturity_year": 2049, "observed_natural_sink_gtc_yr": 6.160806027639787, "permafrost_tau_yr": 40.01416818508241, "first_below_280_year": 2190, "peak_co2_ppm": 440.88880590958513, "peak_warming_c": 1.8130211115322397, "land_binding": false}, {"draw": 202, "transition_case": "iea_nze_reference", "land_case": "high_efficiency", "mature_incremental_cdr_gtco2_yr": 14.352297574145616, "cdr_maturity_year": 2047, "observed_natural_sink_gtc_yr": 5.515838143122073, "permafrost_tau_yr": 55.72032359319648, "first_below_280_year": 2169, "peak_co2_ppm": 441.5720890235664, "peak_warming_c": 1.808881312328005, "land_binding": false}, {"draw": 203, "transition_case": "current_investment_constrained", "land_case": "high_efficiency", "mature_incremental_cdr_gtco2_yr": 14.692425380554955, "cdr_maturity_year": 2044, "observed_natural_sink_gtc_yr": 6.098126648851982, "permafrost_tau_yr": 57.28575490293652, "first_below_280_year": 2167, "peak_co2_ppm": 443.5778799849853, "peak_warming_c": 1.7989196063026418, "land_binding": false}, {"draw": 204, "transition_case": "current_investment_constrained", "land_case": "central", "mature_incremental_cdr_gtco2_yr": 14.902884797451296, "cdr_maturity_year": 2042, "observed_natural_sink_gtc_yr": 6.678377258149483, "permafrost_tau_yr": 44.91370327816649, "first_below_280_year": 2164, "peak_co2_ppm": 441.9518529837503, "peak_warming_c": 1.788510495765949, "land_binding": false}, {"draw": 205, "transition_case": "high_acceleration", "land_case": "central", "mature_incremental_cdr_gtco2_yr": 13.350408821089786, "cdr_maturity_year": 2046, "observed_natural_sink_gtc_yr": 6.769405095468772, "permafrost_tau_yr": 51.94631983160831, "first_below_280_year": 2175, "peak_co2_ppm": 438.35164693427504, "peak_warming_c": 1.7994739278190228, "land_binding": false}, {"draw": 206, "transition_case": "current_investment_constrained", "land_case": "central", "mature_incremental_cdr_gtco2_yr": 14.93825887264449, "cdr_maturity_year": 2050, "observed_natural_sink_gtc_yr": 6.736372822080411, "permafrost_tau_yr": 53.125145358438004, "first_below_280_year": 2167, "peak_co2_ppm": 443.33674450813623, "peak_warming_c": 1.8150302596645924, "land_binding": false}, {"draw": 207, "transition_case": "high_acceleration", "land_case": "central", "mature_incremental_cdr_gtco2_yr": 13.029889894790376, "cdr_maturity_year": 2043, "observed_natural_sink_gtc_yr": 6.355846149936944, "permafrost_tau_yr": 57.06329627749672, "first_below_280_year": 2179, "peak_co2_ppm": 438.79415687483663, "peak_warming_c": 1.79752728703342, "land_binding": false}, {"draw": 208, "transition_case": "current_investment_constrained", "land_case": "central", "mature_incremental_cdr_gtco2_yr": 12.726277766007396, "cdr_maturity_year": 2042, "observed_natural_sink_gtc_yr": 6.278802585946987, "permafrost_tau_yr": 53.93833875957248, "first_below_280_year": 2192, "peak_co2_ppm": 443.34599126707946, "peak_warming_c": 1.8065543805429298, "land_binding": false}, {"draw": 209, "transition_case": "natural_turnover", "land_case": "central", "mature_incremental_cdr_gtco2_yr": 10.526644137806175, "cdr_maturity_year": 2043, "observed_natural_sink_gtc_yr": 5.8551664698665755, "permafrost_tau_yr": 51.8680614901573, "first_below_280_year": 2369, "peak_co2_ppm": 454.9813716737325, "peak_warming_c": 1.8110621760114693, "land_binding": false}, {"draw": 210, "transition_case": "high_acceleration", "land_case": "high_efficiency", "mature_incremental_cdr_gtco2_yr": 15.595231115091547, "cdr_maturity_year": 2046, "observed_natural_sink_gtc_yr": 6.222186408881567, "permafrost_tau_yr": 43.55523411238687, "first_below_280_year": 2152, "peak_co2_ppm": 439.00562938086375, "peak_warming_c": 1.7954211401639242, "land_binding": false}, {"draw": 211, "transition_case": "iea_nze_reference", "land_case": "central", "mature_incremental_cdr_gtco2_yr": 12.64036874616463, "cdr_maturity_year": 2053, "observed_natural_sink_gtc_yr": 6.007710865546423, "permafrost_tau_yr": 48.22644977276662, "first_below_280_year": 2192, "peak_co2_ppm": 441.38811334212687, "peak_warming_c": 1.8253551389969735, "land_binding": false}, {"draw": 212, "transition_case": "iea_nze_reference", "land_case": "central", "mature_incremental_cdr_gtco2_yr": 13.708662170576977, "cdr_maturity_year": 2053, "observed_natural_sink_gtc_yr": 6.4689065073478, "permafrost_tau_yr": 42.388780256736354, "first_below_280_year": 2175, "peak_co2_ppm": 440.4681924941807, "peak_warming_c": 1.816697631820825, "land_binding": false}, {"draw": 213, "transition_case": "iea_nze_reference", "land_case": "high_efficiency", "mature_incremental_cdr_gtco2_yr": 13.304573742249302, "cdr_maturity_year": 2044, "observed_natural_sink_gtc_yr": 6.797521613098964, "permafrost_tau_yr": 45.865078294764565, "first_below_280_year": 2176, "peak_co2_ppm": 439.16154446280495, "peak_warming_c": 1.7894356333362138, "land_binding": false}, {"draw": 214, "transition_case": "high_acceleration", "land_case": "low_efficiency", "mature_incremental_cdr_gtco2_yr": 13.121258450850254, "cdr_maturity_year": 2042, "observed_natural_sink_gtc_yr": 5.749628259303815, "permafrost_tau_yr": 59.06747871723928, "first_below_280_year": 2269, "peak_co2_ppm": 440.0901262085613, "peak_warming_c": 1.8185456594924494, "land_binding": true}, {"draw": 215, "transition_case": "current_investment_constrained", "land_case": "central", "mature_incremental_cdr_gtco2_yr": 11.675253828493634, "cdr_maturity_year": 2042, "observed_natural_sink_gtc_yr": 6.497643649117069, "permafrost_tau_yr": 52.99331557467217, "first_below_280_year": 2210, "peak_co2_ppm": 443.25828494076154, "peak_warming_c": 1.810367935539125, "land_binding": false}, {"draw": 216, "transition_case": "current_investment_constrained", "land_case": "low_efficiency", "mature_incremental_cdr_gtco2_yr": 15.056645803388673, "cdr_maturity_year": 2044, "observed_natural_sink_gtc_yr": 6.567144157021889, "permafrost_tau_yr": 50.86429593481055, "first_below_280_year": 2244, "peak_co2_ppm": 443.4823032947411, "peak_warming_c": 1.821304094933505, "land_binding": true}, {"draw": 217, "transition_case": "natural_turnover", "land_case": "low_efficiency", "mature_incremental_cdr_gtco2_yr": 12.189485422752885, "cdr_maturity_year": 2043, "observed_natural_sink_gtc_yr": 6.738937254991525, "permafrost_tau_yr": 43.56508667523701, "first_below_280_year": null, "peak_co2_ppm": 453.49787273402364, "peak_warming_c": 1.8553036565214929, "land_binding": true}, {"draw": 218, "transition_case": "high_acceleration", "land_case": "central", "mature_incremental_cdr_gtco2_yr": 10.975163922329436, "cdr_maturity_year": 2050, "observed_natural_sink_gtc_yr": 6.167521384539745, "permafrost_tau_yr": 47.373067301030275, "first_below_280_year": 2215, "peak_co2_ppm": 439.8583120511973, "peak_warming_c": 1.822663564740959, "land_binding": false}, {"draw": 219, "transition_case": "high_acceleration", "land_case": "high_efficiency", "mature_incremental_cdr_gtco2_yr": 11.34010694940848, "cdr_maturity_year": 2052, "observed_natural_sink_gtc_yr": 6.601179407002868, "permafrost_tau_yr": 63.19516792596011, "first_below_280_year": 2207, "peak_co2_ppm": 439.1677121978763, "peak_warming_c": 1.8145021962017607, "land_binding": false}, {"draw": 220, "transition_case": "natural_turnover", "land_case": "low_efficiency", "mature_incremental_cdr_gtco2_yr": 14.1453234621215, "cdr_maturity_year": 2043, "observed_natural_sink_gtc_yr": 5.983676189370657, "permafrost_tau_yr": 61.92716221033719, "first_below_280_year": null, "peak_co2_ppm": 453.4930818987138, "peak_warming_c": 1.8346273336030456, "land_binding": true}, {"draw": 221, "transition_case": "natural_turnover", "land_case": "central", "mature_incremental_cdr_gtco2_yr": 11.61486047826461, "cdr_maturity_year": 2043, "observed_natural_sink_gtc_yr": 6.8443213046741285, "permafrost_tau_yr": 54.00484504669713, "first_below_280_year": 2328, "peak_co2_ppm": 451.38695762405075, "peak_warming_c": 1.7768388000964928, "land_binding": false}, {"draw": 222, "transition_case": "delayed_finance", "land_case": "low_efficiency", "mature_incremental_cdr_gtco2_yr": 12.829043447196636, "cdr_maturity_year": 2042, "observed_natural_sink_gtc_yr": 6.908225464508095, "permafrost_tau_yr": 56.03597808377103, "first_below_280_year": 2302, "peak_co2_ppm": 451.9884952824317, "peak_warming_c": 1.8726436528698278, "land_binding": true}, {"draw": 223, "transition_case": "delayed_finance", "land_case": "high_efficiency", "mature_incremental_cdr_gtco2_yr": 15.2491585253828, "cdr_maturity_year": 2046, "observed_natural_sink_gtc_yr": 6.822583410201089, "permafrost_tau_yr": 53.88260982303346, "first_below_280_year": 2172, "peak_co2_ppm": 451.1730767917934, "peak_warming_c": 1.8421293700791577, "land_binding": false}, {"draw": 224, "transition_case": "iea_nze_reference", "land_case": "central", "mature_incremental_cdr_gtco2_yr": 13.446359697972632, "cdr_maturity_year": 2047, "observed_natural_sink_gtc_yr": 6.65729097623116, "permafrost_tau_yr": 44.84826514004158, "first_below_280_year": 2176, "peak_co2_ppm": 439.71788823534894, "peak_warming_c": 1.8029860242388962, "land_binding": false}, {"draw": 225, "transition_case": "iea_nze_reference", "land_case": "central", "mature_incremental_cdr_gtco2_yr": 13.172440069696416, "cdr_maturity_year": 2043, "observed_natural_sink_gtc_yr": 6.3709941133170815, "permafrost_tau_yr": 48.639502328560255, "first_below_280_year": 2180, "peak_co2_ppm": 439.78836026069655, "peak_warming_c": 1.7956967506454806, "land_binding": false}, {"draw": 226, "transition_case": "natural_turnover", "land_case": "high_efficiency", "mature_incremental_cdr_gtco2_yr": 14.753795823810034, "cdr_maturity_year": 2045, "observed_natural_sink_gtc_yr": 6.4434143013564285, "permafrost_tau_yr": 52.532772319074994, "first_below_280_year": 2257, "peak_co2_ppm": 450.6034619541665, "peak_warming_c": 1.7270741525735533, "land_binding": false}, {"draw": 227, "transition_case": "current_investment_constrained", "land_case": "central", "mature_incremental_cdr_gtco2_yr": 13.832463395689205, "cdr_maturity_year": 2049, "observed_natural_sink_gtc_yr": 6.239908109130581, "permafrost_tau_yr": 43.59896412053753, "first_below_280_year": 2179, "peak_co2_ppm": 444.3989424667167, "peak_warming_c": 1.8239226958074686, "land_binding": false}, {"draw": 228, "transition_case": "iea_nze_reference", "land_case": "central", "mature_incremental_cdr_gtco2_yr": 13.983532872101222, "cdr_maturity_year": 2043, "observed_natural_sink_gtc_yr": 6.676350431924442, "permafrost_tau_yr": 41.82504002030839, "first_below_280_year": 2168, "peak_co2_ppm": 439.12124873156904, "peak_warming_c": 1.7887590034531442, "land_binding": false}, {"draw": 229, "transition_case": "iea_nze_reference", "land_case": "central", "mature_incremental_cdr_gtco2_yr": 13.495791661210452, "cdr_maturity_year": 2052, "observed_natural_sink_gtc_yr": 6.940641658538161, "permafrost_tau_yr": 43.67416111214419, "first_below_280_year": 2177, "peak_co2_ppm": 439.60757271798497, "peak_warming_c": 1.8099193942310952, "land_binding": false}, {"draw": 230, "transition_case": "delayed_finance", "land_case": "low_efficiency", "mature_incremental_cdr_gtco2_yr": 12.483325151016754, "cdr_maturity_year": 2043, "observed_natural_sink_gtc_yr": 6.259401319674642, "permafrost_tau_yr": 51.906946076491366, "first_below_280_year": 2315, "peak_co2_ppm": 453.6408870795075, "peak_warming_c": 1.8843526469955598, "land_binding": true}, {"draw": 231, "transition_case": "delayed_finance", "land_case": "low_efficiency", "mature_incremental_cdr_gtco2_yr": 11.36597399952374, "cdr_maturity_year": 2043, "observed_natural_sink_gtc_yr": 6.63032752415185, "permafrost_tau_yr": 48.828222344488665, "first_below_280_year": 2345, "peak_co2_ppm": 453.2475960146769, "peak_warming_c": 1.8846979372493535, "land_binding": true}, {"draw": 232, "transition_case": "iea_nze_reference", "land_case": "central", "mature_incremental_cdr_gtco2_yr": 15.42553994529763, "cdr_maturity_year": 2048, "observed_natural_sink_gtc_yr": 5.904194053906368, "permafrost_tau_yr": 47.32285091950559, "first_below_280_year": 2159, "peak_co2_ppm": 440.8430024129934, "peak_warming_c": 1.8069897531274877, "land_binding": false}, {"draw": 233, "transition_case": "iea_nze_reference", "land_case": "high_efficiency", "mature_incremental_cdr_gtco2_yr": 14.335301613317364, "cdr_maturity_year": 2045, "observed_natural_sink_gtc_yr": 6.501598634230344, "permafrost_tau_yr": 53.22275594097924, "first_below_280_year": 2164, "peak_co2_ppm": 439.61502546590646, "peak_warming_c": 1.7914863179220009, "land_binding": false}, {"draw": 234, "transition_case": "high_acceleration", "land_case": "central", "mature_incremental_cdr_gtco2_yr": 13.763411664293255, "cdr_maturity_year": 2044, "observed_natural_sink_gtc_yr": 6.830160519686125, "permafrost_tau_yr": 46.04053179596444, "first_below_280_year": 2169, "peak_co2_ppm": 438.02922944415525, "peak_warming_c": 1.7924647003789522, "land_binding": false}, {"draw": 235, "transition_case": "delayed_finance", "land_case": "central", "mature_incremental_cdr_gtco2_yr": 14.372157859200152, "cdr_maturity_year": 2044, "observed_natural_sink_gtc_yr": 6.2172862676978955, "permafrost_tau_yr": 48.93847699813482, "first_below_280_year": 2180, "peak_co2_ppm": 452.12318479358197, "peak_warming_c": 1.8531000040645915, "land_binding": false}, {"draw": 236, "transition_case": "high_acceleration", "land_case": "central", "mature_incremental_cdr_gtco2_yr": 12.70579664385738, "cdr_maturity_year": 2042, "observed_natural_sink_gtc_yr": 6.8666762578268425, "permafrost_tau_yr": 50.948160443936736, "first_below_280_year": 2180, "peak_co2_ppm": 437.89080725791644, "peak_warming_c": 1.7899547450343365, "land_binding": false}, {"draw": 237, "transition_case": "natural_turnover", "land_case": "high_efficiency", "mature_incremental_cdr_gtco2_yr": 12.905617457865237, "cdr_maturity_year": 2044, "observed_natural_sink_gtc_yr": 5.649856882233789, "permafrost_tau_yr": 50.6598934786804, "first_below_280_year": 2298, "peak_co2_ppm": 453.21414729967165, "peak_warming_c": 1.7613065043517644, "land_binding": false}, {"draw": 238, "transition_case": "current_investment_constrained", "land_case": "high_efficiency", "mature_incremental_cdr_gtco2_yr": 15.20995585709465, "cdr_maturity_year": 2047, "observed_natural_sink_gtc_yr": 6.17561883142185, "permafrost_tau_yr": 44.92659124872658, "first_below_280_year": 2163, "peak_co2_ppm": 443.91312865514027, "peak_warming_c": 1.8068389225294008, "land_binding": false}, {"draw": 239, "transition_case": "current_investment_constrained", "land_case": "central", "mature_incremental_cdr_gtco2_yr": 14.440928232487952, "cdr_maturity_year": 2044, "observed_natural_sink_gtc_yr": 6.572277485760738, "permafrost_tau_yr": 51.37733208064098, "first_below_280_year": 2170, "peak_co2_ppm": 442.76628165931845, "peak_warming_c": 1.7997487114535207, "land_binding": false}, {"draw": 240, "transition_case": "iea_nze_reference", "land_case": "high_efficiency", "mature_incremental_cdr_gtco2_yr": 15.524053411773835, "cdr_maturity_year": 2043, "observed_natural_sink_gtc_yr": 6.363260639970371, "permafrost_tau_yr": 46.20377956571846, "first_below_280_year": 2152, "peak_co2_ppm": 439.40400122173276, "peak_warming_c": 1.781597153365107, "land_binding": false}, {"draw": 241, "transition_case": "iea_nze_reference", "land_case": "central", "mature_incremental_cdr_gtco2_yr": 14.727940976872528, "cdr_maturity_year": 2044, "observed_natural_sink_gtc_yr": 6.412613653777528, "permafrost_tau_yr": 64.3352678711228, "first_below_280_year": 2161, "peak_co2_ppm": 439.55548623582456, "peak_warming_c": 1.7911496998535614, "land_binding": false}, {"draw": 242, "transition_case": "delayed_finance", "land_case": "central", "mature_incremental_cdr_gtco2_yr": 14.329400429311978, "cdr_maturity_year": 2051, "observed_natural_sink_gtc_yr": 6.7219438019526585, "permafrost_tau_yr": 35.85056811023104, "first_below_280_year": 2182, "peak_co2_ppm": 452.97637497875456, "peak_warming_c": 1.8712574278185703, "land_binding": false}, {"draw": 243, "transition_case": "natural_turnover", "land_case": "high_efficiency", "mature_incremental_cdr_gtco2_yr": 14.599358021355496, "cdr_maturity_year": 2050, "observed_natural_sink_gtc_yr": 6.942259401595481, "permafrost_tau_yr": 53.73407325723589, "first_below_280_year": 2262, "peak_co2_ppm": 452.3075510650845, "peak_warming_c": 1.7389188903274775, "land_binding": false}, {"draw": 244, "transition_case": "iea_nze_reference", "land_case": "high_efficiency", "mature_incremental_cdr_gtco2_yr": 13.0725608201225, "cdr_maturity_year": 2051, "observed_natural_sink_gtc_yr": 5.976743525050342, "permafrost_tau_yr": 60.61065752835223, "first_below_280_year": 2185, "peak_co2_ppm": 441.250136416346, "peak_warming_c": 1.8163235912057243, "land_binding": false}, {"draw": 245, "transition_case": "iea_nze_reference", "land_case": "central", "mature_incremental_cdr_gtco2_yr": 14.669051458664468, "cdr_maturity_year": 2044, "observed_natural_sink_gtc_yr": 6.276251577603091, "permafrost_tau_yr": 41.59164032678926, "first_below_280_year": 2162, "peak_co2_ppm": 439.8453493615483, "peak_warming_c": 1.7940573651446, "land_binding": false}, {"draw": 246, "transition_case": "iea_nze_reference", "land_case": "central", "mature_incremental_cdr_gtco2_yr": 12.788079354262877, "cdr_maturity_year": 2049, "observed_natural_sink_gtc_yr": 6.864184605490211, "permafrost_tau_yr": 60.10968263061049, "first_below_280_year": 2185, "peak_co2_ppm": 439.59498048297996, "peak_warming_c": 1.8069036044900932, "land_binding": false}, {"draw": 247, "transition_case": "iea_nze_reference", "land_case": "central", "mature_incremental_cdr_gtco2_yr": 13.760528381383686, "cdr_maturity_year": 2048, "observed_natural_sink_gtc_yr": 5.987663148407061, "permafrost_tau_yr": 51.19746369464506, "first_below_280_year": 2175, "peak_co2_ppm": 440.92484814402644, "peak_warming_c": 1.8121561693697676, "land_binding": false}, {"draw": 248, "transition_case": "high_acceleration", "land_case": "low_efficiency", "mature_incremental_cdr_gtco2_yr": 14.240907753690134, "cdr_maturity_year": 2042, "observed_natural_sink_gtc_yr": 6.663345434117856, "permafrost_tau_yr": 64.81076039930602, "first_below_280_year": 2241, "peak_co2_ppm": 438.45814622119747, "peak_warming_c": 1.803824400413781, "land_binding": true}, {"draw": 249, "transition_case": "iea_nze_reference", "land_case": "central", "mature_incremental_cdr_gtco2_yr": 12.856735785849633, "cdr_maturity_year": 2046, "observed_natural_sink_gtc_yr": 6.331634330784058, "permafrost_tau_yr": 63.17613487709521, "first_below_280_year": 2183, "peak_co2_ppm": 440.24776555886, "peak_warming_c": 1.8059230697139204, "land_binding": false}, {"draw": 250, "transition_case": "natural_turnover", "land_case": "central", "mature_incremental_cdr_gtco2_yr": 14.969264955038238, "cdr_maturity_year": 2047, "observed_natural_sink_gtc_yr": 6.1762556443552885, "permafrost_tau_yr": 49.96279127640623, "first_below_280_year": 2258, "peak_co2_ppm": 452.15179253187574, "peak_warming_c": 1.7461809773064227, "land_binding": false}, {"draw": 251, "transition_case": "iea_nze_reference", "land_case": "central", "mature_incremental_cdr_gtco2_yr": 15.301962977969852, "cdr_maturity_year": 2043, "observed_natural_sink_gtc_yr": 6.0477865040651135, "permafrost_tau_yr": 42.02403100729994, "first_below_280_year": 2155, "peak_co2_ppm": 439.9791370602362, "peak_warming_c": 1.790528050178318, "land_binding": false}, {"draw": 252, "transition_case": "current_investment_constrained", "land_case": "low_efficiency", "mature_incremental_cdr_gtco2_yr": 13.076850736070524, "cdr_maturity_year": 2043, "observed_natural_sink_gtc_yr": 6.26702502221404, "permafrost_tau_yr": 44.17408843918385, "first_below_280_year": 2282, "peak_co2_ppm": 444.27274367925287, "peak_warming_c": 1.8303561068907748, "land_binding": true}, {"draw": 253, "transition_case": "iea_nze_reference", "land_case": "low_efficiency", "mature_incremental_cdr_gtco2_yr": 14.45306679248678, "cdr_maturity_year": 2052, "observed_natural_sink_gtc_yr": 6.273480579998079, "permafrost_tau_yr": 48.54047265751584, "first_below_280_year": 2248, "peak_co2_ppm": 440.877953356831, "peak_warming_c": 1.8267438229251292, "land_binding": true}, {"draw": 254, "transition_case": "delayed_finance", "land_case": "central", "mature_incremental_cdr_gtco2_yr": 12.709431248575363, "cdr_maturity_year": 2049, "observed_natural_sink_gtc_yr": 6.060193871217824, "permafrost_tau_yr": 50.82203254479634, "first_below_280_year": 2206, "peak_co2_ppm": 454.40497764117, "peak_warming_c": 1.8808121295911997, "land_binding": false}, {"draw": 255, "transition_case": "current_investment_constrained", "land_case": "central", "mature_incremental_cdr_gtco2_yr": 13.423022853838585, "cdr_maturity_year": 2051, "observed_natural_sink_gtc_yr": 6.331921774597712, "permafrost_tau_yr": 58.19448848281711, "first_below_280_year": 2185, "peak_co2_ppm": 444.5553189222171, "peak_warming_c": 1.8286215748379169, "land_binding": false}, {"draw": 256, "transition_case": "high_acceleration", "land_case": "central", "mature_incremental_cdr_gtco2_yr": 13.67340834918943, "cdr_maturity_year": 2049, "observed_natural_sink_gtc_yr": 6.262694330285876, "permafrost_tau_yr": 40.824395163840215, "first_below_280_year": 2173, "peak_co2_ppm": 439.3858527872271, "peak_warming_c": 1.8115103439073115, "land_binding": false}, {"draw": 257, "transition_case": "current_investment_constrained", "land_case": "central", "mature_incremental_cdr_gtco2_yr": 15.508116406474103, "cdr_maturity_year": 2047, "observed_natural_sink_gtc_yr": 6.414312029534819, "permafrost_tau_yr": 54.50886126379474, "first_below_280_year": 2161, "peak_co2_ppm": 443.3684522793977, "peak_warming_c": 1.8069199661878865, "land_binding": false}, {"draw": 258, "transition_case": "iea_nze_reference", "land_case": "central", "mature_incremental_cdr_gtco2_yr": 14.637730464248822, "cdr_maturity_year": 2048, "observed_natural_sink_gtc_yr": 6.7398534957882035, "permafrost_tau_yr": 55.63560321067376, "first_below_280_year": 2163, "peak_co2_ppm": 439.4751149238328, "peak_warming_c": 1.7992955029766244, "land_binding": false}, {"draw": 259, "transition_case": "current_investment_constrained", "land_case": "low_efficiency", "mature_incremental_cdr_gtco2_yr": 12.51606953828469, "cdr_maturity_year": 2043, "observed_natural_sink_gtc_yr": 6.220092250080657, "permafrost_tau_yr": 44.25056679910359, "first_below_280_year": 2297, "peak_co2_ppm": 444.4626803537457, "peak_warming_c": 1.833196205552411, "land_binding": true}, {"draw": 260, "transition_case": "high_acceleration", "land_case": "central", "mature_incremental_cdr_gtco2_yr": 13.675280958182716, "cdr_maturity_year": 2042, "observed_natural_sink_gtc_yr": 6.240884977941122, "permafrost_tau_yr": 51.5848856632205, "first_below_280_year": 2168, "peak_co2_ppm": 438.78226015485734, "peak_warming_c": 1.793322082304474, "land_binding": false}, {"draw": 261, "transition_case": "high_acceleration", "land_case": "central", "mature_incremental_cdr_gtco2_yr": 13.989258940383067, "cdr_maturity_year": 2042, "observed_natural_sink_gtc_yr": 5.730181809860655, "permafrost_tau_yr": 40.58424610482605, "first_below_280_year": 2169, "peak_co2_ppm": 439.60994256571973, "peak_warming_c": 1.7988138235909525, "land_binding": false}, {"draw": 262, "transition_case": "high_acceleration", "land_case": "high_efficiency", "mature_incremental_cdr_gtco2_yr": 11.98445667594637, "cdr_maturity_year": 2043, "observed_natural_sink_gtc_yr": 6.608562762303061, "permafrost_tau_yr": 51.96604349156545, "first_below_280_year": 2192, "peak_co2_ppm": 438.528189970291, "peak_warming_c": 1.7954275169323168, "land_binding": false}, {"draw": 263, "transition_case": "natural_turnover", "land_case": "high_efficiency", "mature_incremental_cdr_gtco2_yr": 14.88621795805341, "cdr_maturity_year": 2048, "observed_natural_sink_gtc_yr": 6.48726222810147, "permafrost_tau_yr": 41.97759570818571, "first_below_280_year": 2256, "peak_co2_ppm": 452.13635265505104, "peak_warming_c": 1.7356086055234345, "land_binding": false}, {"draw": 264, "transition_case": "delayed_finance", "land_case": "central", "mature_incremental_cdr_gtco2_yr": 14.045594093486951, "cdr_maturity_year": 2053, "observed_natural_sink_gtc_yr": 6.270403067462047, "permafrost_tau_yr": 60.412839099792755, "first_below_280_year": 2188, "peak_co2_ppm": 454.2195204238702, "peak_warming_c": 1.8816264597022196, "land_binding": false}, {"draw": 265, "transition_case": "delayed_finance", "land_case": "low_efficiency", "mature_incremental_cdr_gtco2_yr": 13.1409697965174, "cdr_maturity_year": 2046, "observed_natural_sink_gtc_yr": 6.2711158269180425, "permafrost_tau_yr": 47.07194218752531, "first_below_280_year": 2298, "peak_co2_ppm": 454.0321175761126, "peak_warming_c": 1.88786711255734, "land_binding": true}, {"draw": 266, "transition_case": "natural_turnover", "land_case": "central", "mature_incremental_cdr_gtco2_yr": 15.38613097892652, "cdr_maturity_year": 2052, "observed_natural_sink_gtc_yr": 6.629386698888869, "permafrost_tau_yr": 52.110742530958596, "first_below_280_year": 2251, "peak_co2_ppm": 453.2861557595032, "peak_warming_c": 1.7523353397512835, "land_binding": false}, {"draw": 267, "transition_case": "natural_turnover", "land_case": "central", "mature_incremental_cdr_gtco2_yr": 12.607745002597468, "cdr_maturity_year": 2045, "observed_natural_sink_gtc_yr": 6.048736946312257, "permafrost_tau_yr": 54.61198613264234, "first_below_280_year": 2306, "peak_co2_ppm": 453.21467703990334, "peak_warming_c": 1.7757984390628554, "land_binding": false}, {"draw": 268, "transition_case": "high_acceleration", "land_case": "central", "mature_incremental_cdr_gtco2_yr": 14.74938435736042, "cdr_maturity_year": 2053, "observed_natural_sink_gtc_yr": 6.31146848228866, "permafrost_tau_yr": 49.047938381539126, "first_below_280_year": 2163, "peak_co2_ppm": 439.40381640405013, "peak_warming_c": 1.8140764223293182, "land_binding": false}, {"draw": 269, "transition_case": "natural_turnover", "land_case": "high_efficiency", "mature_incremental_cdr_gtco2_yr": 13.807353540503744, "cdr_maturity_year": 2044, "observed_natural_sink_gtc_yr": 5.938319072465596, "permafrost_tau_yr": 50.610012571922965, "first_below_280_year": 2276, "peak_co2_ppm": 451.81915485733714, "peak_warming_c": 1.7437571186076488, "land_binding": false}, {"draw": 270, "transition_case": "current_investment_constrained", "land_case": "central", "mature_incremental_cdr_gtco2_yr": 13.931963233263131, "cdr_maturity_year": 2044, "observed_natural_sink_gtc_yr": 6.161430972151637, "permafrost_tau_yr": 58.537491825989356, "first_below_280_year": 2177, "peak_co2_ppm": 443.66305294279744, "peak_warming_c": 1.8074664310130975, "land_binding": false}, {"draw": 271, "transition_case": "delayed_finance", "land_case": "central", "mature_incremental_cdr_gtco2_yr": 13.219909713506546, "cdr_maturity_year": 2047, "observed_natural_sink_gtc_yr": 6.010489227353722, "permafrost_tau_yr": 36.52884045385858, "first_below_280_year": 2200, "peak_co2_ppm": 453.93818191630453, "peak_warming_c": 1.8736025911071332, "land_binding": false}, {"draw": 272, "transition_case": "current_investment_constrained", "land_case": "central", "mature_incremental_cdr_gtco2_yr": 13.850855861656648, "cdr_maturity_year": 2041, "observed_natural_sink_gtc_yr": 6.795783032941843, "permafrost_tau_yr": 56.15968384228101, "first_below_280_year": 2176, "peak_co2_ppm": 441.7439050954559, "peak_warming_c": 1.7894602917590374, "land_binding": false}, {"draw": 273, "transition_case": "delayed_finance", "land_case": "low_efficiency", "mature_incremental_cdr_gtco2_yr": 11.951649783149762, "cdr_maturity_year": 2045, "observed_natural_sink_gtc_yr": 5.8686289546887975, "permafrost_tau_yr": 48.29712146150779, "first_below_280_year": 2332, "peak_co2_ppm": 454.9866161370428, "peak_warming_c": 1.8954896003040975, "land_binding": true}, {"draw": 274, "transition_case": "natural_turnover", "land_case": "high_efficiency", "mature_incremental_cdr_gtco2_yr": 11.67668244572817, "cdr_maturity_year": 2050, "observed_natural_sink_gtc_yr": 6.674102262026144, "permafrost_tau_yr": 68.49801183474992, "first_below_280_year": 2331, "peak_co2_ppm": 455.29458695497067, "peak_warming_c": 1.7808058990100475, "land_binding": false}, {"draw": 275, "transition_case": "high_acceleration", "land_case": "central", "mature_incremental_cdr_gtco2_yr": 13.968386103544242, "cdr_maturity_year": 2047, "observed_natural_sink_gtc_yr": 5.931354822353638, "permafrost_tau_yr": 31.32426104145051, "first_below_280_year": 2168, "peak_co2_ppm": 439.7987652110859, "peak_warming_c": 1.8110705999318846, "land_binding": false}, {"draw": 276, "transition_case": "delayed_finance", "land_case": "central", "mature_incremental_cdr_gtco2_yr": 15.263740594062208, "cdr_maturity_year": 2045, "observed_natural_sink_gtc_yr": 6.567535194857189, "permafrost_tau_yr": 58.54426603388174, "first_below_280_year": 2172, "peak_co2_ppm": 451.3745592133986, "peak_warming_c": 1.846688708945263, "land_binding": false}, {"draw": 277, "transition_case": "delayed_finance", "land_case": "central", "mature_incremental_cdr_gtco2_yr": 15.331634483404537, "cdr_maturity_year": 2043, "observed_natural_sink_gtc_yr": 6.4382717434867995, "permafrost_tau_yr": 54.384660077510816, "first_below_280_year": 2168, "peak_co2_ppm": 450.94594674557794, "peak_warming_c": 1.8404005077718353, "land_binding": false}, {"draw": 278, "transition_case": "current_investment_constrained", "land_case": "central", "mature_incremental_cdr_gtco2_yr": 14.379616533976064, "cdr_maturity_year": 2047, "observed_natural_sink_gtc_yr": 5.9695054954149205, "permafrost_tau_yr": 49.350262721086416, "first_below_280_year": 2174, "peak_co2_ppm": 444.4856075487291, "peak_warming_c": 1.81835993133015, "land_binding": false}, {"draw": 279, "transition_case": "delayed_finance", "land_case": "central", "mature_incremental_cdr_gtco2_yr": 11.255380090644676, "cdr_maturity_year": 2050, "observed_natural_sink_gtc_yr": 5.986000860402539, "permafrost_tau_yr": 48.52638829833222, "first_below_280_year": 2235, "peak_co2_ppm": 455.25023750621824, "peak_warming_c": 1.8920535265825178, "land_binding": false}, {"draw": 280, "transition_case": "iea_nze_reference", "land_case": "central", "mature_incremental_cdr_gtco2_yr": 13.15292421079193, "cdr_maturity_year": 2042, "observed_natural_sink_gtc_yr": 5.894361967470889, "permafrost_tau_yr": 46.223214875052356, "first_below_280_year": 2180, "peak_co2_ppm": 440.4841379839139, "peak_warming_c": 1.7985126404655245, "land_binding": false}, {"draw": 281, "transition_case": "iea_nze_reference", "land_case": "central", "mature_incremental_cdr_gtco2_yr": 13.047337196755858, "cdr_maturity_year": 2042, "observed_natural_sink_gtc_yr": 6.4780811443223625, "permafrost_tau_yr": 59.35693738924104, "first_below_280_year": 2178, "peak_co2_ppm": 439.45603064518923, "peak_warming_c": 1.7912922629761263, "land_binding": false}, {"draw": 282, "transition_case": "iea_nze_reference", "land_case": "low_efficiency", "mature_incremental_cdr_gtco2_yr": 13.491164788052838, "cdr_maturity_year": 2043, "observed_natural_sink_gtc_yr": 5.707509555467789, "permafrost_tau_yr": 50.022386831779926, "first_below_280_year": 2265, "peak_co2_ppm": 441.40745776485824, "peak_warming_c": 1.8214510704152955, "land_binding": true}, {"draw": 283, "transition_case": "iea_nze_reference", "land_case": "central", "mature_incremental_cdr_gtco2_yr": 12.360929043625639, "cdr_maturity_year": 2046, "observed_natural_sink_gtc_yr": 6.57717002154716, "permafrost_tau_yr": 46.29045611946498, "first_below_280_year": 2191, "peak_co2_ppm": 439.9240637819944, "peak_warming_c": 1.8057706093999564, "land_binding": false}, {"draw": 284, "transition_case": "iea_nze_reference", "land_case": "central", "mature_incremental_cdr_gtco2_yr": 13.960886487229562, "cdr_maturity_year": 2049, "observed_natural_sink_gtc_yr": 6.5873103126143855, "permafrost_tau_yr": 41.09212239974435, "first_below_280_year": 2171, "peak_co2_ppm": 439.95386299761503, "peak_warming_c": 1.806924856377303, "land_binding": false}, {"draw": 285, "transition_case": "iea_nze_reference", "land_case": "central", "mature_incremental_cdr_gtco2_yr": 13.616032658589457, "cdr_maturity_year": 2047, "observed_natural_sink_gtc_yr": 6.047509078750599, "permafrost_tau_yr": 44.96255929493449, "first_below_280_year": 2176, "peak_co2_ppm": 440.7607675379247, "peak_warming_c": 1.80981660991417, "land_binding": false}, {"draw": 286, "transition_case": "current_investment_constrained", "land_case": "high_efficiency", "mature_incremental_cdr_gtco2_yr": 13.2938593997865, "cdr_maturity_year": 2044, "observed_natural_sink_gtc_yr": 6.139527467178709, "permafrost_tau_yr": 42.14570122194854, "first_below_280_year": 2184, "peak_co2_ppm": 443.92085924868877, "peak_warming_c": 1.8071842637732445, "land_binding": false}, {"draw": 287, "transition_case": "high_acceleration", "land_case": "central", "mature_incremental_cdr_gtco2_yr": 13.727021762492557, "cdr_maturity_year": 2047, "observed_natural_sink_gtc_yr": 6.0051058596520255, "permafrost_tau_yr": 33.550908689946795, "first_below_280_year": 2172, "peak_co2_ppm": 439.6947478660635, "peak_warming_c": 1.8107945782818233, "land_binding": false}, {"draw": 288, "transition_case": "natural_turnover", "land_case": "high_efficiency", "mature_incremental_cdr_gtco2_yr": 15.017056325294096, "cdr_maturity_year": 2049, "observed_natural_sink_gtc_yr": 6.290042565172149, "permafrost_tau_yr": 36.71720153892901, "first_below_280_year": 2255, "peak_co2_ppm": 453.0072880376454, "peak_warming_c": 1.7405632767619412, "land_binding": false}, {"draw": 289, "transition_case": "iea_nze_reference", "land_case": "low_efficiency", "mature_incremental_cdr_gtco2_yr": 15.128670550181553, "cdr_maturity_year": 2044, "observed_natural_sink_gtc_yr": 6.270999011638837, "permafrost_tau_yr": 59.059639452321676, "first_below_280_year": 2233, "peak_co2_ppm": 440.3064468463951, "peak_warming_c": 1.811277447181455, "land_binding": true}, {"draw": 290, "transition_case": "high_acceleration", "land_case": "low_efficiency", "mature_incremental_cdr_gtco2_yr": 14.979447374631414, "cdr_maturity_year": 2048, "observed_natural_sink_gtc_yr": 6.5036599517863065, "permafrost_tau_yr": 40.9673046152528, "first_below_280_year": 2232, "peak_co2_ppm": 439.06917884922564, "peak_warming_c": 1.8164975928366844, "land_binding": true}, {"draw": 291, "transition_case": "current_investment_constrained", "land_case": "central", "mature_incremental_cdr_gtco2_yr": 12.971568854924847, "cdr_maturity_year": 2048, "observed_natural_sink_gtc_yr": 6.302325383099777, "permafrost_tau_yr": 41.04076936974286, "first_below_280_year": 2191, "peak_co2_ppm": 444.3558855781898, "peak_warming_c": 1.8245485302404585, "land_binding": false}, {"draw": 292, "transition_case": "current_investment_constrained", "land_case": "low_efficiency", "mature_incremental_cdr_gtco2_yr": 12.981175175524005, "cdr_maturity_year": 2043, "observed_natural_sink_gtc_yr": 6.234178347020591, "permafrost_tau_yr": 59.8728067532431, "first_below_280_year": 2284, "peak_co2_ppm": 444.3130530465362, "peak_warming_c": 1.8302859433313718, "land_binding": true}, {"draw": 293, "transition_case": "high_acceleration", "land_case": "central", "mature_incremental_cdr_gtco2_yr": 12.952209628833886, "cdr_maturity_year": 2044, "observed_natural_sink_gtc_yr": 6.080206606870026, "permafrost_tau_yr": 35.41028205261366, "first_below_280_year": 2180, "peak_co2_ppm": 439.40618280627064, "peak_warming_c": 1.805197741574418, "land_binding": false}, {"draw": 294, "transition_case": "current_investment_constrained", "land_case": "central", "mature_incremental_cdr_gtco2_yr": 13.226880846543319, "cdr_maturity_year": 2046, "observed_natural_sink_gtc_yr": 6.800967441256711, "permafrost_tau_yr": 58.03703812281607, "first_below_280_year": 2185, "peak_co2_ppm": 443.0150816342208, "peak_warming_c": 1.8101056912227818, "land_binding": false}, {"draw": 295, "transition_case": "iea_nze_reference", "land_case": "low_efficiency", "mature_incremental_cdr_gtco2_yr": 10.84561670183783, "cdr_maturity_year": 2050, "observed_natural_sink_gtc_yr": 6.991157015367969, "permafrost_tau_yr": 62.06589537139448, "first_below_280_year": 2331, "peak_co2_ppm": 439.8088584346958, "peak_warming_c": 1.822943442110491, "land_binding": true}, {"draw": 296, "transition_case": "high_acceleration", "land_case": "central", "mature_incremental_cdr_gtco2_yr": 15.817798077550034, "cdr_maturity_year": 2047, "observed_natural_sink_gtc_yr": 6.016873151078281, "permafrost_tau_yr": 60.66392648564283, "first_below_280_year": 2151, "peak_co2_ppm": 439.3862007849168, "peak_warming_c": 1.8023881586465162, "land_binding": true}, {"draw": 297, "transition_case": "delayed_finance", "land_case": "central", "mature_incremental_cdr_gtco2_yr": 13.758572521199843, "cdr_maturity_year": 2043, "observed_natural_sink_gtc_yr": 6.6325589705779695, "permafrost_tau_yr": 57.979946914464335, "first_below_280_year": 2186, "peak_co2_ppm": 451.2064307378066, "peak_warming_c": 1.8478036175894665, "land_binding": false}, {"draw": 298, "transition_case": "current_investment_constrained", "land_case": "high_efficiency", "mature_incremental_cdr_gtco2_yr": 14.559130137637956, "cdr_maturity_year": 2043, "observed_natural_sink_gtc_yr": 6.635362027057007, "permafrost_tau_yr": 61.39616789495551, "first_below_280_year": 2168, "peak_co2_ppm": 442.3618909358913, "peak_warming_c": 1.7891584232962081, "land_binding": false}, {"draw": 299, "transition_case": "current_investment_constrained", "land_case": "central", "mature_incremental_cdr_gtco2_yr": 13.639613278359654, "cdr_maturity_year": 2051, "observed_natural_sink_gtc_yr": 5.794782396600765, "permafrost_tau_yr": 57.21940327415263, "first_below_280_year": 2184, "peak_co2_ppm": 445.5523217153783, "peak_warming_c": 1.8345270802177673, "land_binding": false}, {"draw": 300, "transition_case": "current_investment_constrained", "land_case": "central", "mature_incremental_cdr_gtco2_yr": 12.76615430983448, "cdr_maturity_year": 2051, "observed_natural_sink_gtc_yr": 6.8004048917135265, "permafrost_tau_yr": 44.39135372508493, "first_below_280_year": 2194, "peak_co2_ppm": 443.8511447367056, "peak_warming_c": 1.8262969997755347, "land_binding": false}, {"draw": 301, "transition_case": "iea_nze_reference", "land_case": "central", "mature_incremental_cdr_gtco2_yr": 14.415312262970271, "cdr_maturity_year": 2046, "observed_natural_sink_gtc_yr": 6.265845450716617, "permafrost_tau_yr": 54.28647027249985, "first_below_280_year": 2167, "peak_co2_ppm": 440.1317159151457, "peak_warming_c": 1.8006763482136212, "land_binding": false}, {"draw": 302, "transition_case": "iea_nze_reference", "land_case": "low_efficiency", "mature_incremental_cdr_gtco2_yr": 14.789907604122064, "cdr_maturity_year": 2042, "observed_natural_sink_gtc_yr": 6.019758096642985, "permafrost_tau_yr": 61.50654171627308, "first_below_280_year": 2240, "peak_co2_ppm": 440.5802992516743, "peak_warming_c": 1.8106428007318505, "land_binding": true}, {"draw": 303, "transition_case": "iea_nze_reference", "land_case": "central", "mature_incremental_cdr_gtco2_yr": 11.849680252705491, "cdr_maturity_year": 2044, "observed_natural_sink_gtc_yr": 6.403868912219682, "permafrost_tau_yr": 32.278472915633195, "first_below_280_year": 2200, "peak_co2_ppm": 440.14451375834483, "peak_warming_c": 1.8057195238264134, "land_binding": false}, {"draw": 304, "transition_case": "natural_turnover", "land_case": "low_efficiency", "mature_incremental_cdr_gtco2_yr": 12.608243803913163, "cdr_maturity_year": 2047, "observed_natural_sink_gtc_yr": 6.716529233617802, "permafrost_tau_yr": 53.76012348123777, "first_below_280_year": null, "peak_co2_ppm": 454.5976106337026, "peak_warming_c": 1.854506508886617, "land_binding": true}, {"draw": 305, "transition_case": "iea_nze_reference", "land_case": "high_efficiency", "mature_incremental_cdr_gtco2_yr": 13.042232922812126, "cdr_maturity_year": 2043, "observed_natural_sink_gtc_yr": 5.980900948854625, "permafrost_tau_yr": 43.269307733372216, "first_below_280_year": 2183, "peak_co2_ppm": 440.5099978533006, "peak_warming_c": 1.7975270526119855, "land_binding": false}, {"draw": 306, "transition_case": "iea_nze_reference", "land_case": "central", "mature_incremental_cdr_gtco2_yr": 12.784373452558887, "cdr_maturity_year": 2047, "observed_natural_sink_gtc_yr": 6.564038943854885, "permafrost_tau_yr": 57.46327434516665, "first_below_280_year": 2185, "peak_co2_ppm": 439.9558594470258, "peak_warming_c": 1.8061742615043395, "land_binding": false}, {"draw": 307, "transition_case": "iea_nze_reference", "land_case": "central", "mature_incremental_cdr_gtco2_yr": 14.95200909399632, "cdr_maturity_year": 2045, "observed_natural_sink_gtc_yr": 6.49203637101528, "permafrost_tau_yr": 55.3608553988375, "first_below_280_year": 2159, "peak_co2_ppm": 439.5268007249918, "peak_warming_c": 1.792868106665268, "land_binding": false}, {"draw": 308, "transition_case": "natural_turnover", "land_case": "central", "mature_incremental_cdr_gtco2_yr": 12.391152817724306, "cdr_maturity_year": 2050, "observed_natural_sink_gtc_yr": 5.952276922572912, "permafrost_tau_yr": 54.31164149008863, "first_below_280_year": 2313, "peak_co2_ppm": 456.25754617012046, "peak_warming_c": 1.793889889736931, "land_binding": false}, {"draw": 309, "transition_case": "current_investment_constrained", "land_case": "low_efficiency", "mature_incremental_cdr_gtco2_yr": 15.031521113347248, "cdr_maturity_year": 2046, "observed_natural_sink_gtc_yr": 6.171430254510472, "permafrost_tau_yr": 47.34222968179067, "first_below_280_year": 2247, "peak_co2_ppm": 444.49782674450523, "peak_warming_c": 1.8311847431619392, "land_binding": true}, {"draw": 310, "transition_case": "iea_nze_reference", "land_case": "low_efficiency", "mature_incremental_cdr_gtco2_yr": 14.636568226041543, "cdr_maturity_year": 2043, "observed_natural_sink_gtc_yr": 6.508201201925229, "permafrost_tau_yr": 51.39272539111249, "first_below_280_year": 2239, "peak_co2_ppm": 439.8634534809147, "peak_warming_c": 1.807853102167128, "land_binding": true}, {"draw": 311, "transition_case": "current_investment_constrained", "land_case": "central", "mature_incremental_cdr_gtco2_yr": 12.982550083690308, "cdr_maturity_year": 2042, "observed_natural_sink_gtc_yr": 5.938634642298131, "permafrost_tau_yr": 52.89378667999824, "first_below_280_year": 2188, "peak_co2_ppm": 443.91442199777094, "peak_warming_c": 1.8093279098591928, "land_binding": false}, {"draw": 312, "transition_case": "high_acceleration", "land_case": "central", "mature_incremental_cdr_gtco2_yr": 12.601372235809135, "cdr_maturity_year": 2044, "observed_natural_sink_gtc_yr": 6.481811485648015, "permafrost_tau_yr": 54.60706572237524, "first_below_280_year": 2182, "peak_co2_ppm": 438.746379013067, "peak_warming_c": 1.8005901793879446, "land_binding": false}, {"draw": 313, "transition_case": "current_investment_constrained", "land_case": "central", "mature_incremental_cdr_gtco2_yr": 15.189092941254213, "cdr_maturity_year": 2046, "observed_natural_sink_gtc_yr": 6.02534416418948, "permafrost_tau_yr": 50.75847787761925, "first_below_280_year": 2166, "peak_co2_ppm": 444.00949892501177, "peak_warming_c": 1.8099739187341148, "land_binding": false}, {"draw": 314, "transition_case": "high_acceleration", "land_case": "low_efficiency", "mature_incremental_cdr_gtco2_yr": 12.712636700220779, "cdr_maturity_year": 2043, "observed_natural_sink_gtc_yr": 6.5976670478625286, "permafrost_tau_yr": 42.41088944777154, "first_below_280_year": 2274, "peak_co2_ppm": 438.8103967660386, "peak_warming_c": 1.8121502602510886, "land_binding": true}, {"draw": 315, "transition_case": "iea_nze_reference", "land_case": "central", "mature_incremental_cdr_gtco2_yr": 14.756236602817548, "cdr_maturity_year": 2043, "observed_natural_sink_gtc_yr": 6.439775526074123, "permafrost_tau_yr": 65.0075201333069, "first_below_280_year": 2159, "peak_co2_ppm": 439.36167388264585, "peak_warming_c": 1.7871775473395277, "land_binding": false}, {"draw": 316, "transition_case": "natural_turnover", "land_case": "high_efficiency", "mature_incremental_cdr_gtco2_yr": 12.129637007433667, "cdr_maturity_year": 2050, "observed_natural_sink_gtc_yr": 5.553961984023706, "permafrost_tau_yr": 52.395850045799406, "first_below_280_year": 2321, "peak_co2_ppm": 457.39842161230285, "peak_warming_c": 1.7904228881962305, "land_binding": false}, {"draw": 317, "transition_case": "iea_nze_reference", "land_case": "low_efficiency", "mature_incremental_cdr_gtco2_yr": 13.334433094580081, "cdr_maturity_year": 2045, "observed_natural_sink_gtc_yr": 6.390228695884923, "permafrost_tau_yr": 55.69389325765669, "first_below_280_year": 2267, "peak_co2_ppm": 440.37442749715626, "peak_warming_c": 1.817211166745806, "land_binding": true}, {"draw": 318, "transition_case": "delayed_finance", "land_case": "central", "mature_incremental_cdr_gtco2_yr": 12.879122372980536, "cdr_maturity_year": 2047, "observed_natural_sink_gtc_yr": 6.0747250519981115, "permafrost_tau_yr": 37.793716374915746, "first_below_280_year": 2205, "peak_co2_ppm": 453.933800022306, "peak_warming_c": 1.8746344895428164, "land_binding": false}, {"draw": 319, "transition_case": "iea_nze_reference", "land_case": "central", "mature_incremental_cdr_gtco2_yr": 12.731896587713354, "cdr_maturity_year": 2047, "observed_natural_sink_gtc_yr": 6.621871210689617, "permafrost_tau_yr": 48.963305363154014, "first_below_280_year": 2187, "peak_co2_ppm": 439.87733107560246, "peak_warming_c": 1.8060741258995157, "land_binding": false}, {"draw": 320, "transition_case": "current_investment_constrained", "land_case": "low_efficiency", "mature_incremental_cdr_gtco2_yr": 13.142851341135133, "cdr_maturity_year": 2048, "observed_natural_sink_gtc_yr": 6.145990165070611, "permafrost_tau_yr": 63.07283150008679, "first_below_280_year": 2285, "peak_co2_ppm": 445.0682693333747, "peak_warming_c": 1.8408199121887392, "land_binding": true}, {"draw": 321, "transition_case": "natural_turnover", "land_case": "high_efficiency", "mature_incremental_cdr_gtco2_yr": 14.398840655187811, "cdr_maturity_year": 2050, "observed_natural_sink_gtc_yr": 6.69169224777699, "permafrost_tau_yr": 52.80513805524291, "first_below_280_year": 2265, "peak_co2_ppm": 452.99379042784705, "peak_warming_c": 1.744525733710632, "land_binding": false}, {"draw": 322, "transition_case": "iea_nze_reference", "land_case": "low_efficiency", "mature_incremental_cdr_gtco2_yr": 14.344411435637314, "cdr_maturity_year": 2051, "observed_natural_sink_gtc_yr": 6.290627463474606, "permafrost_tau_yr": 44.389032426498986, "first_below_280_year": 2249, "peak_co2_ppm": 440.82212980119664, "peak_warming_c": 1.8258349189132148, "land_binding": true}, {"draw": 323, "transition_case": "current_investment_constrained", "land_case": "high_efficiency", "mature_incremental_cdr_gtco2_yr": 15.07789868461584, "cdr_maturity_year": 2048, "observed_natural_sink_gtc_yr": 5.741002378287902, "permafrost_tau_yr": 58.16141426805298, "first_below_280_year": 2166, "peak_co2_ppm": 444.8977267204968, "peak_warming_c": 1.8157023479856478, "land_binding": false}, {"draw": 324, "transition_case": "high_acceleration", "land_case": "central", "mature_incremental_cdr_gtco2_yr": 12.517587082857697, "cdr_maturity_year": 2051, "observed_natural_sink_gtc_yr": 5.9082649311303, "permafrost_tau_yr": 49.77057845802702, "first_below_280_year": 2190, "peak_co2_ppm": 440.18393565459405, "peak_warming_c": 1.8224367662463212, "land_binding": false}, {"draw": 325, "transition_case": "current_investment_constrained", "land_case": "central", "mature_incremental_cdr_gtco2_yr": 13.221386909356855, "cdr_maturity_year": 2045, "observed_natural_sink_gtc_yr": 6.287599591594411, "permafrost_tau_yr": 37.64558771829799, "first_below_280_year": 2185, "peak_co2_ppm": 443.8684967702443, "peak_warming_c": 1.8145001111120278, "land_binding": false}, {"draw": 326, "transition_case": "high_acceleration", "land_case": "central", "mature_incremental_cdr_gtco2_yr": 14.870107069647842, "cdr_maturity_year": 2049, "observed_natural_sink_gtc_yr": 6.09107191358007, "permafrost_tau_yr": 56.464009062205676, "first_below_280_year": 2159, "peak_co2_ppm": 439.5214587744307, "peak_warming_c": 1.8088194002325295, "land_binding": false}, {"draw": 327, "transition_case": "iea_nze_reference", "land_case": "central", "mature_incremental_cdr_gtco2_yr": 12.583135132035945, "cdr_maturity_year": 2044, "observed_natural_sink_gtc_yr": 5.704902301889148, "permafrost_tau_yr": 63.78445487928411, "first_below_280_year": 2191, "peak_co2_ppm": 441.1755254103257, "peak_warming_c": 1.8090896539829142, "land_binding": false}, {"draw": 328, "transition_case": "high_acceleration", "land_case": "central", "mature_incremental_cdr_gtco2_yr": 14.735273083904964, "cdr_maturity_year": 2045, "observed_natural_sink_gtc_yr": 6.113141941571684, "permafrost_tau_yr": 51.78009412299562, "first_below_280_year": 2160, "peak_co2_ppm": 439.183484375587, "peak_warming_c": 1.8000462493382658, "land_binding": false}, {"draw": 329, "transition_case": "iea_nze_reference", "land_case": "low_efficiency", "mature_incremental_cdr_gtco2_yr": 14.223762208422187, "cdr_maturity_year": 2044, "observed_natural_sink_gtc_yr": 6.614872073485321, "permafrost_tau_yr": 59.72977097081019, "first_below_280_year": 2248, "peak_co2_ppm": 439.80289405457967, "peak_warming_c": 1.809683599149976, "land_binding": true}, {"draw": 330, "transition_case": "delayed_finance", "land_case": "high_efficiency", "mature_incremental_cdr_gtco2_yr": 14.109032394224759, "cdr_maturity_year": 2049, "observed_natural_sink_gtc_yr": 6.740775428511649, "permafrost_tau_yr": 52.79661684019979, "first_below_280_year": 2185, "peak_co2_ppm": 452.5345698652638, "peak_warming_c": 1.8593179957871784, "land_binding": false}, {"draw": 331, "transition_case": "iea_nze_reference", "land_case": "central", "mature_incremental_cdr_gtco2_yr": 12.349078426857062, "cdr_maturity_year": 2046, "observed_natural_sink_gtc_yr": 6.596420643099826, "permafrost_tau_yr": 41.95662561107551, "first_below_280_year": 2191, "peak_co2_ppm": 439.902848673039, "peak_warming_c": 1.805863165067406, "land_binding": false}, {"draw": 332, "transition_case": "natural_turnover", "land_case": "central", "mature_incremental_cdr_gtco2_yr": 12.721060784449921, "cdr_maturity_year": 2044, "observed_natural_sink_gtc_yr": 6.748885796157846, "permafrost_tau_yr": 44.93148044412814, "first_below_280_year": 2299, "peak_co2_ppm": 451.07385660914576, "peak_warming_c": 1.762497255762814, "land_binding": false}, {"draw": 333, "transition_case": "delayed_finance", "land_case": "central", "mature_incremental_cdr_gtco2_yr": 14.656572460747398, "cdr_maturity_year": 2045, "observed_natural_sink_gtc_yr": 5.485833775652212, "permafrost_tau_yr": 48.77184428344912, "first_below_280_year": 2182, "peak_co2_ppm": 453.79080337204596, "peak_warming_c": 1.8643188426477426, "land_binding": false}, {"draw": 334, "transition_case": "iea_nze_reference", "land_case": "high_efficiency", "mature_incremental_cdr_gtco2_yr": 12.121824948303844, "cdr_maturity_year": 2042, "observed_natural_sink_gtc_yr": 6.618360804101312, "permafrost_tau_yr": 64.25083850477837, "first_below_280_year": 2191, "peak_co2_ppm": 439.38598578623066, "peak_warming_c": 1.7899795724024319, "land_binding": false}, {"draw": 335, "transition_case": "iea_nze_reference", "land_case": "low_efficiency", "mature_incremental_cdr_gtco2_yr": 12.150194610494957, "cdr_maturity_year": 2041, "observed_natural_sink_gtc_yr": 6.827711590576373, "permafrost_tau_yr": 46.63726660535413, "first_below_280_year": 2290, "peak_co2_ppm": 439.4160579723748, "peak_warming_c": 1.8080597821024844, "land_binding": true}, {"draw": 336, "transition_case": "iea_nze_reference", "land_case": "central", "mature_incremental_cdr_gtco2_yr": 15.04516943311792, "cdr_maturity_year": 2042, "observed_natural_sink_gtc_yr": 6.087967534898419, "permafrost_tau_yr": 51.31365111224444, "first_below_280_year": 2158, "peak_co2_ppm": 439.78991064070493, "peak_warming_c": 1.7869600400041803, "land_binding": false}, {"draw": 337, "transition_case": "iea_nze_reference", "land_case": "high_efficiency", "mature_incremental_cdr_gtco2_yr": 15.318759985012262, "cdr_maturity_year": 2042, "observed_natural_sink_gtc_yr": 6.583959755857199, "permafrost_tau_yr": 53.89612133779038, "first_below_280_year": 2154, "peak_co2_ppm": 438.9212596878075, "peak_warming_c": 1.775674036258389, "land_binding": false}, {"draw": 338, "transition_case": "natural_turnover", "land_case": "central", "mature_incremental_cdr_gtco2_yr": 15.272427571171614, "cdr_maturity_year": 2044, "observed_natural_sink_gtc_yr": 6.35997283042763, "permafrost_tau_yr": 53.940793154754864, "first_below_280_year": 2250, "peak_co2_ppm": 449.78137484203035, "peak_warming_c": 1.7294355602221767, "land_binding": false}, {"draw": 339, "transition_case": "high_acceleration", "land_case": "central", "mature_incremental_cdr_gtco2_yr": 14.02853115028627, "cdr_maturity_year": 2042, "observed_natural_sink_gtc_yr": 7.062222616245699, "permafrost_tau_yr": 50.384042348886425, "first_below_280_year": 2163, "peak_co2_ppm": 437.372354301346, "peak_warming_c": 1.7820672147381222, "land_binding": false}, {"draw": 340, "transition_case": "current_investment_constrained", "land_case": "central", "mature_incremental_cdr_gtco2_yr": 14.440300249295943, "cdr_maturity_year": 2042, "observed_natural_sink_gtc_yr": 5.4471957127886625, "permafrost_tau_yr": 60.10533980900442, "first_below_280_year": 2171, "peak_co2_ppm": 444.39499758786485, "peak_warming_c": 1.806351805588274, "land_binding": false}, {"draw": 341, "transition_case": "iea_nze_reference", "land_case": "central", "mature_incremental_cdr_gtco2_yr": 14.60207400385167, "cdr_maturity_year": 2045, "observed_natural_sink_gtc_yr": 6.081056706863339, "permafrost_tau_yr": 45.644887667446305, "first_below_280_year": 2164, "peak_co2_ppm": 440.3237155531122, "peak_warming_c": 1.7997292900151145, "land_binding": false}, {"draw": 342, "transition_case": "delayed_finance", "land_case": "low_efficiency", "mature_incremental_cdr_gtco2_yr": 14.17901342949103, "cdr_maturity_year": 2045, "observed_natural_sink_gtc_yr": 6.805613829285781, "permafrost_tau_yr": 57.15283665935124, "first_below_280_year": 2272, "peak_co2_ppm": 452.4743978654782, "peak_warming_c": 1.8745364635049933, "land_binding": true}, {"draw": 343, "transition_case": "natural_turnover", "land_case": "central", "mature_incremental_cdr_gtco2_yr": 12.784300556861755, "cdr_maturity_year": 2045, "observed_natural_sink_gtc_yr": 6.500885294000753, "permafrost_tau_yr": 47.75530875192962, "first_below_280_year": 2300, "peak_co2_ppm": 452.13393313166677, "peak_warming_c": 1.7672792812022853, "land_binding": false}, {"draw": 344, "transition_case": "natural_turnover", "land_case": "central", "mature_incremental_cdr_gtco2_yr": 15.258388966257483, "cdr_maturity_year": 2051, "observed_natural_sink_gtc_yr": 6.588639932286855, "permafrost_tau_yr": 60.03077596196381, "first_below_280_year": 2251, "peak_co2_ppm": 452.98093793126276, "peak_warming_c": 1.7502918030249466, "land_binding": false}, {"draw": 345, "transition_case": "current_investment_constrained", "land_case": "central", "mature_incremental_cdr_gtco2_yr": 14.761275297015356, "cdr_maturity_year": 2042, "observed_natural_sink_gtc_yr": 6.79994626362959, "permafrost_tau_yr": 50.87738485228235, "first_below_280_year": 2165, "peak_co2_ppm": 441.7517617393834, "peak_warming_c": 1.7875432503119446, "land_binding": false}, {"draw": 346, "transition_case": "current_investment_constrained", "land_case": "central", "mature_incremental_cdr_gtco2_yr": 12.575982162036174, "cdr_maturity_year": 2050, "observed_natural_sink_gtc_yr": 6.331102155549927, "permafrost_tau_yr": 49.37648474601145, "first_below_280_year": 2198, "peak_co2_ppm": 444.65742268234703, "peak_warming_c": 1.8303969109153408, "land_binding": false}, {"draw": 347, "transition_case": "current_investment_constrained", "land_case": "high_efficiency", "mature_incremental_cdr_gtco2_yr": 14.630550250828813, "cdr_maturity_year": 2050, "observed_natural_sink_gtc_yr": 6.479941516512931, "permafrost_tau_yr": 59.523307619708106, "first_below_280_year": 2171, "peak_co2_ppm": 443.86635510107016, "peak_warming_c": 1.8141571057161134, "land_binding": false}, {"draw": 348, "transition_case": "natural_turnover", "land_case": "high_efficiency", "mature_incremental_cdr_gtco2_yr": 15.529798423436176, "cdr_maturity_year": 2043, "observed_natural_sink_gtc_yr": 6.504521830129362, "permafrost_tau_yr": 54.1812386223464, "first_below_280_year": 2245, "peak_co2_ppm": 448.67364959068016, "peak_warming_c": 1.7095944009274089, "land_binding": false}, {"draw": 349, "transition_case": "natural_turnover", "land_case": "high_efficiency", "mature_incremental_cdr_gtco2_yr": 15.413075627338594, "cdr_maturity_year": 2041, "observed_natural_sink_gtc_yr": 6.616998487797609, "permafrost_tau_yr": 38.744848697033284, "first_below_280_year": 2244, "peak_co2_ppm": 447.2342082437991, "peak_warming_c": 1.703786952651057, "land_binding": false}, {"draw": 350, "transition_case": "natural_turnover", "land_case": "central", "mature_incremental_cdr_gtco2_yr": 15.013693876853367, "cdr_maturity_year": 2042, "observed_natural_sink_gtc_yr": 6.614711586449338, "permafrost_tau_yr": 61.53689057238631, "first_below_280_year": 2251, "peak_co2_ppm": 448.1174941529128, "peak_warming_c": 1.7224796285106745, "land_binding": false}, {"draw": 351, "transition_case": "natural_turnover", "land_case": "central", "mature_incremental_cdr_gtco2_yr": 13.975924203237579, "cdr_maturity_year": 2044, "observed_natural_sink_gtc_yr": 6.933897082626444, "permafrost_tau_yr": 47.99362512323964, "first_below_280_year": 2271, "peak_co2_ppm": 449.61494971667923, "peak_warming_c": 1.7403836638314312, "land_binding": false}, {"draw": 352, "transition_case": "iea_nze_reference", "land_case": "central", "mature_incremental_cdr_gtco2_yr": 14.179394100215987, "cdr_maturity_year": 2043, "observed_natural_sink_gtc_yr": 6.461192838285914, "permafrost_tau_yr": 60.40748311474166, "first_below_280_year": 2165, "peak_co2_ppm": 439.42580382856465, "peak_warming_c": 1.7896356895474572, "land_binding": false}, {"draw": 353, "transition_case": "iea_nze_reference", "land_case": "central", "mature_incremental_cdr_gtco2_yr": 14.465052379928892, "cdr_maturity_year": 2048, "observed_natural_sink_gtc_yr": 5.9445725074466305, "permafrost_tau_yr": 42.78913592505326, "first_below_280_year": 2167, "peak_co2_ppm": 440.9192541361575, "peak_warming_c": 1.8104728487008888, "land_binding": false}, {"draw": 354, "transition_case": "natural_turnover", "land_case": "central", "mature_incremental_cdr_gtco2_yr": 13.892770556758844, "cdr_maturity_year": 2047, "observed_natural_sink_gtc_yr": 6.167158857216289, "permafrost_tau_yr": 53.18684468566458, "first_below_280_year": 2275, "peak_co2_ppm": 453.00261078773565, "peak_warming_c": 1.760528927035024, "land_binding": false}, {"draw": 355, "transition_case": "delayed_finance", "land_case": "central", "mature_incremental_cdr_gtco2_yr": 14.83755235470664, "cdr_maturity_year": 2044, "observed_natural_sink_gtc_yr": 6.467584284380818, "permafrost_tau_yr": 67.0340838740793, "first_below_280_year": 2175, "peak_co2_ppm": 451.4077769893719, "peak_warming_c": 1.8463923970781015, "land_binding": false}, {"draw": 356, "transition_case": "natural_turnover", "land_case": "central", "mature_incremental_cdr_gtco2_yr": 15.45886658508167, "cdr_maturity_year": 2051, "observed_natural_sink_gtc_yr": 6.2943993668408025, "permafrost_tau_yr": 57.177318550815684, "first_below_280_year": 2249, "peak_co2_ppm": 453.4685340051782, "peak_warming_c": 1.7520577435105715, "land_binding": false}, {"draw": 357, "transition_case": "current_investment_constrained", "land_case": "central", "mature_incremental_cdr_gtco2_yr": 10.82769114744808, "cdr_maturity_year": 2047, "observed_natural_sink_gtc_yr": 6.157307033373536, "permafrost_tau_yr": 50.49358463109229, "first_below_280_year": 2229, "peak_co2_ppm": 445.0404624289428, "peak_warming_c": 1.8333648659466921, "land_binding": false}, {"draw": 358, "transition_case": "iea_nze_reference", "land_case": "central", "mature_incremental_cdr_gtco2_yr": 14.919305918622939, "cdr_maturity_year": 2046, "observed_natural_sink_gtc_yr": 6.135610656996644, "permafrost_tau_yr": 55.03471008334346, "first_below_280_year": 2161, "peak_co2_ppm": 440.2802864598615, "peak_warming_c": 1.8003274159757634, "land_binding": false}, {"draw": 359, "transition_case": "high_acceleration", "land_case": "high_efficiency", "mature_incremental_cdr_gtco2_yr": 13.859793034560996, "cdr_maturity_year": 2041, "observed_natural_sink_gtc_yr": 5.864573972533682, "permafrost_tau_yr": 59.36948432517962, "first_below_280_year": 2168, "peak_co2_ppm": 439.23538245148217, "peak_warming_c": 1.7899763767070962, "land_binding": false}, {"draw": 360, "transition_case": "current_investment_constrained", "land_case": "low_efficiency", "mature_incremental_cdr_gtco2_yr": 12.75158768720254, "cdr_maturity_year": 2054, "observed_natural_sink_gtc_yr": 6.647447943302243, "permafrost_tau_yr": 52.102526657237085, "first_below_280_year": 2293, "peak_co2_ppm": 444.6535645065384, "peak_warming_c": 1.845178125259653, "land_binding": true}, {"draw": 361, "transition_case": "current_investment_constrained", "land_case": "central", "mature_incremental_cdr_gtco2_yr": 14.860913319351353, "cdr_maturity_year": 2048, "observed_natural_sink_gtc_yr": 6.922341150795466, "permafrost_tau_yr": 59.3778764118, "first_below_280_year": 2165, "peak_co2_ppm": 442.7169827670731, "peak_warming_c": 1.8069689681836592, "land_binding": false}, {"draw": 362, "transition_case": "delayed_finance", "land_case": "central", "mature_incremental_cdr_gtco2_yr": 13.921987821976947, "cdr_maturity_year": 2049, "observed_natural_sink_gtc_yr": 6.0602977425991735, "permafrost_tau_yr": 41.467081158673956, "first_below_280_year": 2190, "peak_co2_ppm": 454.0093801327325, "peak_warming_c": 1.8750440584533687, "land_binding": false}, {"draw": 363, "transition_case": "current_investment_constrained", "land_case": "low_efficiency", "mature_incremental_cdr_gtco2_yr": 15.235207913544865, "cdr_maturity_year": 2043, "observed_natural_sink_gtc_yr": 6.186828599253926, "permafrost_tau_yr": 50.60510351665712, "first_below_280_year": 2241, "peak_co2_ppm": 444.01573685137316, "peak_warming_c": 1.8230547588717056, "land_binding": true}, {"draw": 364, "transition_case": "current_investment_constrained", "land_case": "central", "mature_incremental_cdr_gtco2_yr": 13.711758176045205, "cdr_maturity_year": 2050, "observed_natural_sink_gtc_yr": 5.832914879330634, "permafrost_tau_yr": 55.463856792317074, "first_below_280_year": 2184, "peak_co2_ppm": 445.3295824231243, "peak_warming_c": 1.8314777176875336, "land_binding": false}, {"draw": 365, "transition_case": "current_investment_constrained", "land_case": "low_efficiency", "mature_incremental_cdr_gtco2_yr": 11.734097740216233, "cdr_maturity_year": 2040, "observed_natural_sink_gtc_yr": 6.3187582931188295, "permafrost_tau_yr": 39.63870094854067, "first_below_280_year": 2315, "peak_co2_ppm": 443.979907871438, "peak_warming_c": 1.829841287175709, "land_binding": true}, {"draw": 366, "transition_case": "delayed_finance", "land_case": "central", "mature_incremental_cdr_gtco2_yr": 15.20313336711034, "cdr_maturity_year": 2050, "observed_natural_sink_gtc_yr": 5.8409552385829535, "permafrost_tau_yr": 57.86989756638301, "first_below_280_year": 2177, "peak_co2_ppm": 454.1652722252845, "peak_warming_c": 1.8734579602861594, "land_binding": false}, {"draw": 367, "transition_case": "iea_nze_reference", "land_case": "high_efficiency", "mature_incremental_cdr_gtco2_yr": 14.483541967385566, "cdr_maturity_year": 2053, "observed_natural_sink_gtc_yr": 6.690196377165306, "permafrost_tau_yr": 50.25109160532187, "first_below_280_year": 2167, "peak_co2_ppm": 439.97432545223063, "peak_warming_c": 1.8068656898016753, "land_binding": false}, {"draw": 368, "transition_case": "high_acceleration", "land_case": "low_efficiency", "mature_incremental_cdr_gtco2_yr": 13.627931757355002, "cdr_maturity_year": 2044, "observed_natural_sink_gtc_yr": 6.575493013159057, "permafrost_tau_yr": 41.84100564902154, "first_below_280_year": 2255, "peak_co2_ppm": 438.8344658735251, "peak_warming_c": 1.8119239593416585, "land_binding": true}, {"draw": 369, "transition_case": "iea_nze_reference", "land_case": "central", "mature_incremental_cdr_gtco2_yr": 13.856326816125966, "cdr_maturity_year": 2044, "observed_natural_sink_gtc_yr": 6.360046709685374, "permafrost_tau_yr": 49.59364436520024, "first_below_280_year": 2172, "peak_co2_ppm": 439.82146684245225, "peak_warming_c": 1.796020627597568, "land_binding": false}, {"draw": 370, "transition_case": "delayed_finance", "land_case": "low_efficiency", "mature_incremental_cdr_gtco2_yr": 14.447661778617809, "cdr_maturity_year": 2046, "observed_natural_sink_gtc_yr": 5.67493807729185, "permafrost_tau_yr": 62.76867364246237, "first_below_280_year": 2273, "peak_co2_ppm": 454.85967502138413, "peak_warming_c": 1.889634305366579, "land_binding": true}, {"draw": 371, "transition_case": "natural_turnover", "land_case": "central", "mature_incremental_cdr_gtco2_yr": 13.610946401015616, "cdr_maturity_year": 2044, "observed_natural_sink_gtc_yr": 6.181806786160726, "permafrost_tau_yr": 49.91035215557477, "first_below_280_year": 2281, "peak_co2_ppm": 451.47349058364136, "peak_warming_c": 1.755737658123118, "land_binding": false}, {"draw": 372, "transition_case": "delayed_finance", "land_case": "central", "mature_incremental_cdr_gtco2_yr": 13.686357003437877, "cdr_maturity_year": 2045, "observed_natural_sink_gtc_yr": 5.774078099677149, "permafrost_tau_yr": 33.85526735287117, "first_below_280_year": 2192, "peak_co2_ppm": 453.6914248071359, "peak_warming_c": 1.867453238393454, "land_binding": false}, {"draw": 373, "transition_case": "high_acceleration", "land_case": "central", "mature_incremental_cdr_gtco2_yr": 12.539079463361823, "cdr_maturity_year": 2045, "observed_natural_sink_gtc_yr": 7.129139553659269, "permafrost_tau_yr": 46.82795531955907, "first_below_280_year": 2183, "peak_co2_ppm": 437.78466626454735, "peak_warming_c": 1.7959767564134537, "land_binding": false}, {"draw": 374, "transition_case": "iea_nze_reference", "land_case": "central", "mature_incremental_cdr_gtco2_yr": 12.157991900505877, "cdr_maturity_year": 2043, "observed_natural_sink_gtc_yr": 6.207751301284333, "permafrost_tau_yr": 49.406607580970224, "first_below_280_year": 2194, "peak_co2_ppm": 440.2599965321092, "peak_warming_c": 1.8023886843752641, "land_binding": false}, {"draw": 375, "transition_case": "natural_turnover", "land_case": "central", "mature_incremental_cdr_gtco2_yr": 12.007074859895553, "cdr_maturity_year": 2045, "observed_natural_sink_gtc_yr": 7.027239050080769, "permafrost_tau_yr": 64.27534137091138, "first_below_280_year": 2317, "peak_co2_ppm": 451.6516412859156, "peak_warming_c": 1.771924158495767, "land_binding": false}, {"draw": 376, "transition_case": "high_acceleration", "land_case": "central", "mature_incremental_cdr_gtco2_yr": 12.814468822268873, "cdr_maturity_year": 2050, "observed_natural_sink_gtc_yr": 6.805679849709643, "permafrost_tau_yr": 49.09973374866594, "first_below_280_year": 2181, "peak_co2_ppm": 438.61437207392584, "peak_warming_c": 1.809035136112738, "land_binding": false}, {"draw": 377, "transition_case": "high_acceleration", "land_case": "central", "mature_incremental_cdr_gtco2_yr": 13.282551329626195, "cdr_maturity_year": 2048, "observed_natural_sink_gtc_yr": 6.674217368094236, "permafrost_tau_yr": 50.188638317218185, "first_below_280_year": 2177, "peak_co2_ppm": 438.6635353220891, "peak_warming_c": 1.8052492833291585, "land_binding": false}, {"draw": 378, "transition_case": "current_investment_constrained", "land_case": "high_efficiency", "mature_incremental_cdr_gtco2_yr": 15.136470614383711, "cdr_maturity_year": 2047, "observed_natural_sink_gtc_yr": 6.766849171125785, "permafrost_tau_yr": 53.68193251689665, "first_below_280_year": 2162, "peak_co2_ppm": 442.7959528274291, "peak_warming_c": 1.7993416004813554, "land_binding": false}, {"draw": 379, "transition_case": "current_investment_constrained", "land_case": "central", "mature_incremental_cdr_gtco2_yr": 15.36865016296992, "cdr_maturity_year": 2044, "observed_natural_sink_gtc_yr": 6.169556586280805, "permafrost_tau_yr": 37.59059406499616, "first_below_280_year": 2163, "peak_co2_ppm": 443.317178974165, "peak_warming_c": 1.800444295129292, "land_binding": false}, {"draw": 380, "transition_case": "natural_turnover", "land_case": "central", "mature_incremental_cdr_gtco2_yr": 13.175074494883894, "cdr_maturity_year": 2055, "observed_natural_sink_gtc_yr": 6.172531990567407, "permafrost_tau_yr": 61.87021933977539, "first_below_280_year": 2295, "peak_co2_ppm": 457.1648168452708, "peak_warming_c": 1.7933228925886413, "land_binding": false}, {"draw": 381, "transition_case": "natural_turnover", "land_case": "low_efficiency", "mature_incremental_cdr_gtco2_yr": 12.85224433318612, "cdr_maturity_year": 2051, "observed_natural_sink_gtc_yr": 6.391620475476027, "permafrost_tau_yr": 56.36295841409476, "first_below_280_year": null, "peak_co2_ppm": 456.4881513182288, "peak_warming_c": 1.8618261104134821, "land_binding": true}, {"draw": 382, "transition_case": "natural_turnover", "land_case": "high_efficiency", "mature_incremental_cdr_gtco2_yr": 14.95151079912008, "cdr_maturity_year": 2051, "observed_natural_sink_gtc_yr": 6.471839611607299, "permafrost_tau_yr": 39.36607727839656, "first_below_280_year": 2258, "peak_co2_ppm": 453.59428612114584, "peak_warming_c": 1.74551119895098, "land_binding": false}, {"draw": 383, "transition_case": "current_investment_constrained", "land_case": "central", "mature_incremental_cdr_gtco2_yr": 15.044863365097672, "cdr_maturity_year": 2046, "observed_natural_sink_gtc_yr": 6.735854109444533, "permafrost_tau_yr": 55.03545509519043, "first_below_280_year": 2164, "peak_co2_ppm": 442.6971214637943, "peak_warming_c": 1.8016109830397653, "land_binding": false}, {"draw": 384, "transition_case": "iea_nze_reference", "land_case": "low_efficiency", "mature_incremental_cdr_gtco2_yr": 13.496798391256595, "cdr_maturity_year": 2049, "observed_natural_sink_gtc_yr": 5.613916211830091, "permafrost_tau_yr": 51.8295000844322, "first_below_280_year": 2268, "peak_co2_ppm": 441.9757318432619, "peak_warming_c": 1.833155043699317, "land_binding": true}, {"draw": 385, "transition_case": "iea_nze_reference", "land_case": "low_efficiency", "mature_incremental_cdr_gtco2_yr": 13.728118747871608, "cdr_maturity_year": 2046, "observed_natural_sink_gtc_yr": 6.028302463792871, "permafrost_tau_yr": 48.15349523085787, "first_below_280_year": 2260, "peak_co2_ppm": 441.0539738839701, "peak_warming_c": 1.8228763866358364, "land_binding": true}, {"draw": 386, "transition_case": "iea_nze_reference", "land_case": "high_efficiency", "mature_incremental_cdr_gtco2_yr": 14.105409673869811, "cdr_maturity_year": 2046, "observed_natural_sink_gtc_yr": 6.423855062426838, "permafrost_tau_yr": 45.62499238649537, "first_below_280_year": 2167, "peak_co2_ppm": 439.92000279264096, "peak_warming_c": 1.7965241069434406, "land_binding": false}, {"draw": 387, "transition_case": "iea_nze_reference", "land_case": "central", "mature_incremental_cdr_gtco2_yr": 12.495049055319928, "cdr_maturity_year": 2051, "observed_natural_sink_gtc_yr": 6.833394489430583, "permafrost_tau_yr": 67.29020520310779, "first_below_280_year": 2190, "peak_co2_ppm": 439.8158379043105, "peak_warming_c": 1.8117968500882369, "land_binding": false}, {"draw": 388, "transition_case": "natural_turnover", "land_case": "central", "mature_incremental_cdr_gtco2_yr": 15.223077848410338, "cdr_maturity_year": 2045, "observed_natural_sink_gtc_yr": 6.5715339430963535, "permafrost_tau_yr": 44.843033683432935, "first_below_280_year": 2249, "peak_co2_ppm": 450.03953713040596, "peak_warming_c": 1.7312901505366645, "land_binding": false}, {"draw": 389, "transition_case": "high_acceleration", "land_case": "central", "mature_incremental_cdr_gtco2_yr": 13.644602486586706, "cdr_maturity_year": 2044, "observed_natural_sink_gtc_yr": 6.476754639471624, "permafrost_tau_yr": 51.546780126216305, "first_below_280_year": 2170, "peak_co2_ppm": 438.6208466011965, "peak_warming_c": 1.7968627256343366, "land_binding": false}, {"draw": 390, "transition_case": "iea_nze_reference", "land_case": "central", "mature_incremental_cdr_gtco2_yr": 14.614904948579076, "cdr_maturity_year": 2042, "observed_natural_sink_gtc_yr": 6.257436471347404, "permafrost_tau_yr": 58.9082253937789, "first_below_280_year": 2163, "peak_co2_ppm": 439.5622815855459, "peak_warming_c": 1.786608848747713, "land_binding": false}, {"draw": 391, "transition_case": "delayed_finance", "land_case": "high_efficiency", "mature_incremental_cdr_gtco2_yr": 13.349524152238514, "cdr_maturity_year": 2048, "observed_natural_sink_gtc_yr": 6.158697006660329, "permafrost_tau_yr": 65.46551450262052, "first_below_280_year": 2198, "peak_co2_ppm": 453.721320254017, "peak_warming_c": 1.8666594386969777, "land_binding": false}, {"draw": 392, "transition_case": "iea_nze_reference", "land_case": "central", "mature_incremental_cdr_gtco2_yr": 11.980905549961662, "cdr_maturity_year": 2043, "observed_natural_sink_gtc_yr": 6.816567129158224, "permafrost_tau_yr": 39.58718463948367, "first_below_280_year": 2193, "peak_co2_ppm": 439.2524031183068, "peak_warming_c": 1.796401119927547, "land_binding": false}, {"draw": 393, "transition_case": "high_acceleration", "land_case": "central", "mature_incremental_cdr_gtco2_yr": 14.124185243168917, "cdr_maturity_year": 2044, "observed_natural_sink_gtc_yr": 5.992266398620812, "permafrost_tau_yr": 56.71572526419182, "first_below_280_year": 2166, "peak_co2_ppm": 439.3569243728148, "peak_warming_c": 1.8007021501960496, "land_binding": false}, {"draw": 394, "transition_case": "high_acceleration", "land_case": "central", "mature_incremental_cdr_gtco2_yr": 13.498884298115009, "cdr_maturity_year": 2051, "observed_natural_sink_gtc_yr": 6.22625567150476, "permafrost_tau_yr": 41.82618780686384, "first_below_280_year": 2176, "peak_co2_ppm": 439.57428890210923, "peak_warming_c": 1.816028724193371, "land_binding": false}, {"draw": 395, "transition_case": "high_acceleration", "land_case": "high_efficiency", "mature_incremental_cdr_gtco2_yr": 14.277299212364394, "cdr_maturity_year": 2042, "observed_natural_sink_gtc_yr": 6.42086401536956, "permafrost_tau_yr": 40.24837548442601, "first_below_280_year": 2161, "peak_co2_ppm": 438.4140411716113, "peak_warming_c": 1.7857753816777358, "land_binding": false}, {"draw": 396, "transition_case": "delayed_finance", "land_case": "central", "mature_incremental_cdr_gtco2_yr": 15.18500197851381, "cdr_maturity_year": 2045, "observed_natural_sink_gtc_yr": 6.187786362993073, "permafrost_tau_yr": 45.47985159056752, "first_below_280_year": 2174, "peak_co2_ppm": 452.18740709143185, "peak_warming_c": 1.852531618212208, "land_binding": false}, {"draw": 397, "transition_case": "iea_nze_reference", "land_case": "high_efficiency", "mature_incremental_cdr_gtco2_yr": 14.525472057561931, "cdr_maturity_year": 2046, "observed_natural_sink_gtc_yr": 6.545841138368236, "permafrost_tau_yr": 42.11079587412131, "first_below_280_year": 2165, "peak_co2_ppm": 439.6495728443426, "peak_warming_c": 1.7936623621608134, "land_binding": false}, {"draw": 398, "transition_case": "natural_turnover", "land_case": "central", "mature_incremental_cdr_gtco2_yr": 12.724348082389817, "cdr_maturity_year": 2049, "observed_natural_sink_gtc_yr": 6.664030990453746, "permafrost_tau_yr": 38.627008170102954, "first_below_280_year": 2300, "peak_co2_ppm": 454.08215448774126, "peak_warming_c": 1.7778346113486454, "land_binding": false}, {"draw": 399, "transition_case": "high_acceleration", "land_case": "central", "mature_incremental_cdr_gtco2_yr": 14.480027803636423, "cdr_maturity_year": 2043, "observed_natural_sink_gtc_yr": 5.826101655113256, "permafrost_tau_yr": 32.11372270803167, "first_below_280_year": 2161, "peak_co2_ppm": 439.5273473914109, "peak_warming_c": 1.7996725528412147, "land_binding": false}, {"draw": 400, "transition_case": "delayed_finance", "land_case": "central", "mature_incremental_cdr_gtco2_yr": 15.460209547527999, "cdr_maturity_year": 2048, "observed_natural_sink_gtc_yr": 7.034619317946387, "permafrost_tau_yr": 53.47218482571648, "first_below_280_year": 2169, "peak_co2_ppm": 451.21918493774626, "peak_warming_c": 1.8512480454400642, "land_binding": false}, {"draw": 401, "transition_case": "iea_nze_reference", "land_case": "low_efficiency", "mature_incremental_cdr_gtco2_yr": 12.858250405342329, "cdr_maturity_year": 2045, "observed_natural_sink_gtc_yr": 5.595206154919271, "permafrost_tau_yr": 43.470755566350064, "first_below_280_year": 2282, "peak_co2_ppm": 441.8511735987094, "peak_warming_c": 1.8291257166453039, "land_binding": true}, {"draw": 402, "transition_case": "iea_nze_reference", "land_case": "central", "mature_incremental_cdr_gtco2_yr": 14.295492920298745, "cdr_maturity_year": 2044, "observed_natural_sink_gtc_yr": 6.073877700321502, "permafrost_tau_yr": 38.04755928121678, "first_below_280_year": 2168, "peak_co2_ppm": 440.2767420388101, "peak_warming_c": 1.7983649968545012, "land_binding": false}, {"draw": 403, "transition_case": "current_investment_constrained", "land_case": "central", "mature_incremental_cdr_gtco2_yr": 13.42939267174322, "cdr_maturity_year": 2052, "observed_natural_sink_gtc_yr": 6.8238339630516, "permafrost_tau_yr": 41.854702829892034, "first_below_280_year": 2185, "peak_co2_ppm": 443.78171088899717, "peak_warming_c": 1.8255857137123057, "land_binding": false}, {"draw": 404, "transition_case": "natural_turnover", "land_case": "central", "mature_incremental_cdr_gtco2_yr": 15.472577162635286, "cdr_maturity_year": 2043, "observed_natural_sink_gtc_yr": 5.942257457422188, "permafrost_tau_yr": 59.30831335118695, "first_below_280_year": 2246, "peak_co2_ppm": 449.8706165412536, "peak_warming_c": 1.72871710427653, "land_binding": false}, {"draw": 405, "transition_case": "high_acceleration", "land_case": "central", "mature_incremental_cdr_gtco2_yr": 13.437128175581906, "cdr_maturity_year": 2047, "observed_natural_sink_gtc_yr": 6.997339089955874, "permafrost_tau_yr": 49.214861523833065, "first_below_280_year": 2171, "peak_co2_ppm": 438.0456315550192, "peak_warming_c": 1.7987692473479042, "land_binding": false}, {"draw": 406, "transition_case": "high_acceleration", "land_case": "low_efficiency", "mature_incremental_cdr_gtco2_yr": 10.65555135106373, "cdr_maturity_year": 2047, "observed_natural_sink_gtc_yr": 5.778554035800933, "permafrost_tau_yr": 49.04499192167609, "first_below_280_year": 2340, "peak_co2_ppm": 440.54657931720124, "peak_warming_c": 1.8331332102927658, "land_binding": true}, {"draw": 407, "transition_case": "iea_nze_reference", "land_case": "central", "mature_incremental_cdr_gtco2_yr": 14.294468919992896, "cdr_maturity_year": 2044, "observed_natural_sink_gtc_yr": 6.281263315695981, "permafrost_tau_yr": 51.23931674531866, "first_below_280_year": 2166, "peak_co2_ppm": 439.8801865616181, "peak_warming_c": 1.7950561433133714, "land_binding": false}, {"draw": 408, "transition_case": "current_investment_constrained", "land_case": "high_efficiency", "mature_incremental_cdr_gtco2_yr": 15.018473473923763, "cdr_maturity_year": 2044, "observed_natural_sink_gtc_yr": 6.2845867035519785, "permafrost_tau_yr": 47.450446818277236, "first_below_280_year": 2166, "peak_co2_ppm": 443.1598918060056, "peak_warming_c": 1.7953684320538836, "land_binding": false}, {"draw": 409, "transition_case": "iea_nze_reference", "land_case": "high_efficiency", "mature_incremental_cdr_gtco2_yr": 14.063534320048273, "cdr_maturity_year": 2046, "observed_natural_sink_gtc_yr": 7.051188239794091, "permafrost_tau_yr": 66.24526339388814, "first_below_280_year": 2167, "peak_co2_ppm": 438.80224420198545, "peak_warming_c": 1.7883501406832947, "land_binding": false}, {"draw": 410, "transition_case": "delayed_finance", "land_case": "high_efficiency", "mature_incremental_cdr_gtco2_yr": 15.175742730801048, "cdr_maturity_year": 2045, "observed_natural_sink_gtc_yr": 6.744125275576862, "permafrost_tau_yr": 65.95326611893836, "first_below_280_year": 2171, "peak_co2_ppm": 451.04716221002764, "peak_warming_c": 1.839274622480467, "land_binding": false}, {"draw": 411, "transition_case": "high_acceleration", "land_case": "central", "mature_incremental_cdr_gtco2_yr": 10.594294379379726, "cdr_maturity_year": 2046, "observed_natural_sink_gtc_yr": 6.558931785121381, "permafrost_tau_yr": 53.10839084417849, "first_below_280_year": 2219, "peak_co2_ppm": 439.02657118511274, "peak_warming_c": 1.8121348636749226, "land_binding": false}, {"draw": 412, "transition_case": "high_acceleration", "land_case": "low_efficiency", "mature_incremental_cdr_gtco2_yr": 14.803298271639793, "cdr_maturity_year": 2044, "observed_natural_sink_gtc_yr": 6.61544454434324, "permafrost_tau_yr": 37.48571601751044, "first_below_280_year": 2234, "peak_co2_ppm": 438.68133759207666, "peak_warming_c": 1.8086408681241655, "land_binding": true}, {"draw": 413, "transition_case": "natural_turnover", "land_case": "high_efficiency", "mature_incremental_cdr_gtco2_yr": 10.725063217113837, "cdr_maturity_year": 2047, "observed_natural_sink_gtc_yr": 6.0795001764340535, "permafrost_tau_yr": 56.976411765681846, "first_below_280_year": 2362, "peak_co2_ppm": 456.083853520416, "peak_warming_c": 1.7982703445900314, "land_binding": false}, {"draw": 414, "transition_case": "delayed_finance", "land_case": "low_efficiency", "mature_incremental_cdr_gtco2_yr": 15.547939402342086, "cdr_maturity_year": 2048, "observed_natural_sink_gtc_yr": 5.6594473786269, "permafrost_tau_yr": 47.67946929779039, "first_below_280_year": 2255, "peak_co2_ppm": 455.0173592436581, "peak_warming_c": 1.891278626076368, "land_binding": true}, {"draw": 415, "transition_case": "current_investment_constrained", "land_case": "low_efficiency", "mature_incremental_cdr_gtco2_yr": 14.092029385279956, "cdr_maturity_year": 2043, "observed_natural_sink_gtc_yr": 6.5815405948407175, "permafrost_tau_yr": 59.72034181153944, "first_below_280_year": 2259, "peak_co2_ppm": 443.459440053806, "peak_warming_c": 1.821853318637204, "land_binding": true}, {"draw": 416, "transition_case": "high_acceleration", "land_case": "central", "mature_incremental_cdr_gtco2_yr": 12.441284927951553, "cdr_maturity_year": 2043, "observed_natural_sink_gtc_yr": 6.538472175791391, "permafrost_tau_yr": 32.89381494799867, "first_below_280_year": 2185, "peak_co2_ppm": 438.62233332902554, "peak_warming_c": 1.799071058771339, "land_binding": false}, {"draw": 417, "transition_case": "current_investment_constrained", "land_case": "central", "mature_incremental_cdr_gtco2_yr": 14.359730057454435, "cdr_maturity_year": 2047, "observed_natural_sink_gtc_yr": 6.14008454586673, "permafrost_tau_yr": 43.244396751307995, "first_below_280_year": 2175, "peak_co2_ppm": 444.1849995438006, "peak_warming_c": 1.8166842184955505, "land_binding": false}, {"draw": 418, "transition_case": "high_acceleration", "land_case": "central", "mature_incremental_cdr_gtco2_yr": 12.738273658082319, "cdr_maturity_year": 2044, "observed_natural_sink_gtc_yr": 6.408616387313362, "permafrost_tau_yr": 53.705171816023004, "first_below_280_year": 2182, "peak_co2_ppm": 438.8508790098147, "peak_warming_c": 1.800987667621301, "land_binding": false}, {"draw": 419, "transition_case": "iea_nze_reference", "land_case": "central", "mature_incremental_cdr_gtco2_yr": 14.286347503646283, "cdr_maturity_year": 2043, "observed_natural_sink_gtc_yr": 6.6537627162466855, "permafrost_tau_yr": 47.69894346785733, "first_below_280_year": 2163, "peak_co2_ppm": 439.09358598880004, "peak_warming_c": 1.7873464429240282, "land_binding": false}, {"draw": 420, "transition_case": "iea_nze_reference", "land_case": "central", "mature_incremental_cdr_gtco2_yr": 13.177221647004032, "cdr_maturity_year": 2046, "observed_natural_sink_gtc_yr": 6.030362817869682, "permafrost_tau_yr": 42.43316150113279, "first_below_280_year": 2181, "peak_co2_ppm": 440.7645418876634, "peak_warming_c": 1.8093080236510628, "land_binding": false}, {"draw": 421, "transition_case": "high_acceleration", "land_case": "central", "mature_incremental_cdr_gtco2_yr": 11.284428239626155, "cdr_maturity_year": 2043, "observed_natural_sink_gtc_yr": 6.605769893356217, "permafrost_tau_yr": 35.46797729572234, "first_below_280_year": 2204, "peak_co2_ppm": 438.6648989931891, "peak_warming_c": 1.8026387062262517, "land_binding": false}, {"draw": 422, "transition_case": "high_acceleration", "land_case": "central", "mature_incremental_cdr_gtco2_yr": 15.096216057699717, "cdr_maturity_year": 2050, "observed_natural_sink_gtc_yr": 6.4555153859301955, "permafrost_tau_yr": 54.85421395736289, "first_below_280_year": 2159, "peak_co2_ppm": 438.95902777317804, "peak_warming_c": 1.8057620505304846, "land_binding": false}, {"draw": 423, "transition_case": "high_acceleration", "land_case": "central", "mature_incremental_cdr_gtco2_yr": 14.107997760483533, "cdr_maturity_year": 2045, "observed_natural_sink_gtc_yr": 6.096949927081296, "permafrost_tau_yr": 66.84978681899726, "first_below_280_year": 2165, "peak_co2_ppm": 439.2719742540122, "peak_warming_c": 1.8019573367088055, "land_binding": false}, {"draw": 424, "transition_case": "delayed_finance", "land_case": "central", "mature_incremental_cdr_gtco2_yr": 12.46889886286665, "cdr_maturity_year": 2041, "observed_natural_sink_gtc_yr": 6.299725550864468, "permafrost_tau_yr": 40.330467074098, "first_below_280_year": 2208, "peak_co2_ppm": 451.7601753567699, "peak_warming_c": 1.8553398521815367, "land_binding": false}, {"draw": 425, "transition_case": "iea_nze_reference", "land_case": "central", "mature_incremental_cdr_gtco2_yr": 14.490596010262411, "cdr_maturity_year": 2051, "observed_natural_sink_gtc_yr": 6.701534437290035, "permafrost_tau_yr": 48.43558033713205, "first_below_280_year": 2166, "peak_co2_ppm": 439.8230567812977, "peak_warming_c": 1.8073952623830953, "land_binding": false}, {"draw": 426, "transition_case": "natural_turnover", "land_case": "low_efficiency", "mature_incremental_cdr_gtco2_yr": 14.037340315378309, "cdr_maturity_year": 2046, "observed_natural_sink_gtc_yr": 6.385993014133109, "permafrost_tau_yr": 48.6739708542354, "first_below_280_year": null, "peak_co2_ppm": 454.0436387327313, "peak_warming_c": 1.8369100462744417, "land_binding": true}, {"draw": 427, "transition_case": "iea_nze_reference", "land_case": "central", "mature_incremental_cdr_gtco2_yr": 15.078601650833836, "cdr_maturity_year": 2046, "observed_natural_sink_gtc_yr": 6.44009657971004, "permafrost_tau_yr": 62.88239638300621, "first_below_280_year": 2157, "peak_co2_ppm": 439.7104907059944, "peak_warming_c": 1.7957412809943194, "land_binding": false}, {"draw": 428, "transition_case": "iea_nze_reference", "land_case": "central", "mature_incremental_cdr_gtco2_yr": 14.1993831125958, "cdr_maturity_year": 2046, "observed_natural_sink_gtc_yr": 6.557922865403904, "permafrost_tau_yr": 42.82521279014631, "first_below_280_year": 2167, "peak_co2_ppm": 439.6779581171428, "peak_warming_c": 1.7985293120116932, "land_binding": false}, {"draw": 429, "transition_case": "delayed_finance", "land_case": "low_efficiency", "mature_incremental_cdr_gtco2_yr": 14.416014680470855, "cdr_maturity_year": 2048, "observed_natural_sink_gtc_yr": 5.806267262298953, "permafrost_tau_yr": 55.07016823819704, "first_below_280_year": 2274, "peak_co2_ppm": 454.95625034322455, "peak_warming_c": 1.8928196863805582, "land_binding": true}, {"draw": 430, "transition_case": "delayed_finance", "land_case": "central", "mature_incremental_cdr_gtco2_yr": 15.056174813980226, "cdr_maturity_year": 2049, "observed_natural_sink_gtc_yr": 6.649067407562548, "permafrost_tau_yr": 64.74141134649241, "first_below_280_year": 2173, "peak_co2_ppm": 452.34972145070776, "peak_warming_c": 1.860833393084897, "land_binding": false}, {"draw": 431, "transition_case": "high_acceleration", "land_case": "high_efficiency", "mature_incremental_cdr_gtco2_yr": 13.783960291639184, "cdr_maturity_year": 2046, "observed_natural_sink_gtc_yr": 5.8209669820368966, "permafrost_tau_yr": 56.95220227528712, "first_below_280_year": 2170, "peak_co2_ppm": 439.8708038075372, "peak_warming_c": 1.8057804875450423, "land_binding": false}, {"draw": 432, "transition_case": "iea_nze_reference", "land_case": "central", "mature_incremental_cdr_gtco2_yr": 14.159135525673012, "cdr_maturity_year": 2043, "observed_natural_sink_gtc_yr": 6.606455534895377, "permafrost_tau_yr": 54.008847684451545, "first_below_280_year": 2166, "peak_co2_ppm": 439.1853866071021, "peak_warming_c": 1.7882018110734117, "land_binding": false}, {"draw": 433, "transition_case": "delayed_finance", "land_case": "central", "mature_incremental_cdr_gtco2_yr": 13.431302462177483, "cdr_maturity_year": 2043, "observed_natural_sink_gtc_yr": 6.183561066521672, "permafrost_tau_yr": 50.211760766820774, "first_below_280_year": 2193, "peak_co2_ppm": 452.24512257302354, "peak_warming_c": 1.8557929170934555, "land_binding": false}, {"draw": 434, "transition_case": "iea_nze_reference", "land_case": "high_efficiency", "mature_incremental_cdr_gtco2_yr": 13.535961283092373, "cdr_maturity_year": 2052, "observed_natural_sink_gtc_yr": 6.1098261634274795, "permafrost_tau_yr": 46.659488257604735, "first_below_280_year": 2179, "peak_co2_ppm": 441.0470908958607, "peak_warming_c": 1.8155181060508687, "land_binding": false}, {"draw": 435, "transition_case": "current_investment_constrained", "land_case": "low_efficiency", "mature_incremental_cdr_gtco2_yr": 14.59212164994727, "cdr_maturity_year": 2046, "observed_natural_sink_gtc_yr": 6.7827366371248345, "permafrost_tau_yr": 50.09791268178179, "first_below_280_year": 2250, "peak_co2_ppm": 443.4089860880157, "peak_warming_c": 1.8248446808928505, "land_binding": true}, {"draw": 436, "transition_case": "high_acceleration", "land_case": "central", "mature_incremental_cdr_gtco2_yr": 12.33286734513391, "cdr_maturity_year": 2047, "observed_natural_sink_gtc_yr": 6.854504787704008, "permafrost_tau_yr": 45.35781022712136, "first_below_280_year": 2189, "peak_co2_ppm": 438.4130084363584, "peak_warming_c": 1.8045927389008027, "land_binding": false}, {"draw": 437, "transition_case": "high_acceleration", "land_case": "central", "mature_incremental_cdr_gtco2_yr": 14.733650293801198, "cdr_maturity_year": 2046, "observed_natural_sink_gtc_yr": 6.27556660337556, "permafrost_tau_yr": 54.329142014855414, "first_below_280_year": 2160, "peak_co2_ppm": 439.0020116473347, "peak_warming_c": 1.8006035935323141, "land_binding": false}, {"draw": 438, "transition_case": "natural_turnover", "land_case": "low_efficiency", "mature_incremental_cdr_gtco2_yr": 13.295210264806618, "cdr_maturity_year": 2053, "observed_natural_sink_gtc_yr": 6.591486582226066, "permafrost_tau_yr": 58.3369527071898, "first_below_280_year": null, "peak_co2_ppm": 456.3812235395277, "peak_warming_c": 1.8560242005557612, "land_binding": true}, {"draw": 439, "transition_case": "current_investment_constrained", "land_case": "central", "mature_incremental_cdr_gtco2_yr": 15.021582454938521, "cdr_maturity_year": 2042, "observed_natural_sink_gtc_yr": 5.815676367884677, "permafrost_tau_yr": 50.93264318060938, "first_below_280_year": 2165, "peak_co2_ppm": 443.5288784059438, "peak_warming_c": 1.798360199787912, "land_binding": false}, {"draw": 440, "transition_case": "iea_nze_reference", "land_case": "low_efficiency", "mature_incremental_cdr_gtco2_yr": 15.271181249550493, "cdr_maturity_year": 2044, "observed_natural_sink_gtc_yr": 5.7634709039688055, "permafrost_tau_yr": 65.76587107166546, "first_below_280_year": 2233, "peak_co2_ppm": 441.17678036008203, "peak_warming_c": 1.8169635269407676, "land_binding": true}, {"draw": 441, "transition_case": "natural_turnover", "land_case": "low_efficiency", "mature_incremental_cdr_gtco2_yr": 14.09329532487569, "cdr_maturity_year": 2045, "observed_natural_sink_gtc_yr": 5.969875639871592, "permafrost_tau_yr": 45.52223495619337, "first_below_280_year": null, "peak_co2_ppm": 454.4909912293963, "peak_warming_c": 1.8406230289385361, "land_binding": true}, {"draw": 442, "transition_case": "current_investment_constrained", "land_case": "central", "mature_incremental_cdr_gtco2_yr": 12.850996068874466, "cdr_maturity_year": 2044, "observed_natural_sink_gtc_yr": 5.540916355667033, "permafrost_tau_yr": 43.056822168156934, "first_below_280_year": 2194, "peak_co2_ppm": 445.18249639727713, "peak_warming_c": 1.8223908556933495, "land_binding": false}, {"draw": 443, "transition_case": "natural_turnover", "land_case": "high_efficiency", "mature_incremental_cdr_gtco2_yr": 15.255641405430834, "cdr_maturity_year": 2041, "observed_natural_sink_gtc_yr": 6.641483996367864, "permafrost_tau_yr": 50.45280284346458, "first_below_280_year": 2248, "peak_co2_ppm": 447.23829772556786, "peak_warming_c": 1.7047046098365373, "land_binding": false}, {"draw": 444, "transition_case": "iea_nze_reference", "land_case": "central", "mature_incremental_cdr_gtco2_yr": 15.364776909235168, "cdr_maturity_year": 2044, "observed_natural_sink_gtc_yr": 6.558134110861962, "permafrost_tau_yr": 42.23807037554697, "first_below_280_year": 2156, "peak_co2_ppm": 439.2301748110326, "peak_warming_c": 1.7876424502074737, "land_binding": false}, {"draw": 445, "transition_case": "natural_turnover", "land_case": "central", "mature_incremental_cdr_gtco2_yr": 14.851181721345037, "cdr_maturity_year": 2048, "observed_natural_sink_gtc_yr": 6.088041002516612, "permafrost_tau_yr": 45.03368015733436, "first_below_280_year": 2258, "peak_co2_ppm": 452.99366036065663, "peak_warming_c": 1.7525828153555116, "land_binding": false}, {"draw": 446, "transition_case": "iea_nze_reference", "land_case": "central", "mature_incremental_cdr_gtco2_yr": 14.796490837886193, "cdr_maturity_year": 2049, "observed_natural_sink_gtc_yr": 6.637210222683342, "permafrost_tau_yr": 46.93446243966514, "first_below_280_year": 2162, "peak_co2_ppm": 439.73874689179803, "peak_warming_c": 1.8028499578015023, "land_binding": false}, {"draw": 447, "transition_case": "iea_nze_reference", "land_case": "central", "mature_incremental_cdr_gtco2_yr": 12.618721112033885, "cdr_maturity_year": 2049, "observed_natural_sink_gtc_yr": 6.30250249692085, "permafrost_tau_yr": 42.56690920094409, "first_below_280_year": 2188, "peak_co2_ppm": 440.630961964637, "peak_warming_c": 1.8152660134340137, "land_binding": false}, {"draw": 448, "transition_case": "iea_nze_reference", "land_case": "high_efficiency", "mature_incremental_cdr_gtco2_yr": 12.761765023028012, "cdr_maturity_year": 2048, "observed_natural_sink_gtc_yr": 6.223221484274052, "permafrost_tau_yr": 45.37077359773661, "first_below_280_year": 2187, "peak_co2_ppm": 440.66441257561644, "peak_warming_c": 1.8091621259622486, "land_binding": false}, {"draw": 449, "transition_case": "iea_nze_reference", "land_case": "low_efficiency", "mature_incremental_cdr_gtco2_yr": 15.345122609821269, "cdr_maturity_year": 2042, "observed_natural_sink_gtc_yr": 6.046117849904597, "permafrost_tau_yr": 65.09764842450788, "first_below_280_year": 2230, "peak_co2_ppm": 440.4613819661254, "peak_warming_c": 1.8084597136636484, "land_binding": true}, {"draw": 450, "transition_case": "iea_nze_reference", "land_case": "high_efficiency", "mature_incremental_cdr_gtco2_yr": 14.935905623721384, "cdr_maturity_year": 2048, "observed_natural_sink_gtc_yr": 5.411242562365812, "permafrost_tau_yr": 50.86995119918674, "first_below_280_year": 2164, "peak_co2_ppm": 441.78178452930933, "peak_warming_c": 1.810749370900144, "land_binding": false}, {"draw": 451, "transition_case": "natural_turnover", "land_case": "central", "mature_incremental_cdr_gtco2_yr": 15.378813212441697, "cdr_maturity_year": 2044, "observed_natural_sink_gtc_yr": 6.371821847804838, "permafrost_tau_yr": 61.59477004323114, "first_below_280_year": 2248, "peak_co2_ppm": 449.6490786570023, "peak_warming_c": 1.7274508241243716, "land_binding": false}, {"draw": 452, "transition_case": "delayed_finance", "land_case": "low_efficiency", "mature_incremental_cdr_gtco2_yr": 14.810316825380003, "cdr_maturity_year": 2042, "observed_natural_sink_gtc_yr": 6.576130811597734, "permafrost_tau_yr": 31.528047366023507, "first_below_280_year": 2261, "peak_co2_ppm": 452.12169322656894, "peak_warming_c": 1.8699233788924934, "land_binding": true}, {"draw": 453, "transition_case": "current_investment_constrained", "land_case": "high_efficiency", "mature_incremental_cdr_gtco2_yr": 14.376977032490583, "cdr_maturity_year": 2052, "observed_natural_sink_gtc_yr": 6.297146320571796, "permafrost_tau_yr": 53.006407115081046, "first_below_280_year": 2174, "peak_co2_ppm": 444.5402660209834, "peak_warming_c": 1.8225628687476094, "land_binding": false}, {"draw": 454, "transition_case": "current_investment_constrained", "land_case": "low_efficiency", "mature_incremental_cdr_gtco2_yr": 13.368879910485258, "cdr_maturity_year": 2043, "observed_natural_sink_gtc_yr": 5.873172103533642, "permafrost_tau_yr": 50.38606660836594, "first_below_280_year": 2279, "peak_co2_ppm": 444.94902385573334, "peak_warming_c": 1.8338586396195211, "land_binding": true}, {"draw": 455, "transition_case": "current_investment_constrained", "land_case": "central", "mature_incremental_cdr_gtco2_yr": 12.65429527894195, "cdr_maturity_year": 2050, "observed_natural_sink_gtc_yr": 5.464295064651718, "permafrost_tau_yr": 61.41579650971955, "first_below_280_year": 2200, "peak_co2_ppm": 446.3036579756712, "peak_warming_c": 1.840474625560309, "land_binding": false}, {"draw": 456, "transition_case": "current_investment_constrained", "land_case": "low_efficiency", "mature_incremental_cdr_gtco2_yr": 13.191250377277056, "cdr_maturity_year": 2045, "observed_natural_sink_gtc_yr": 5.994202786017642, "permafrost_tau_yr": 52.444330110868535, "first_below_280_year": 2282, "peak_co2_ppm": 445.03028660052865, "peak_warming_c": 1.837037562255098, "land_binding": true}, {"draw": 457, "transition_case": "natural_turnover", "land_case": "central", "mature_incremental_cdr_gtco2_yr": 15.059154861141042, "cdr_maturity_year": 2043, "observed_natural_sink_gtc_yr": 6.104068524599008, "permafrost_tau_yr": 42.81074871571738, "first_below_280_year": 2255, "peak_co2_ppm": 449.905365168123, "peak_warming_c": 1.7332068605788211, "land_binding": false}, {"draw": 458, "transition_case": "iea_nze_reference", "land_case": "low_efficiency", "mature_incremental_cdr_gtco2_yr": 13.985555477149614, "cdr_maturity_year": 2048, "observed_natural_sink_gtc_yr": 6.6325969166557845, "permafrost_tau_yr": 48.32462374416883, "first_below_280_year": 2253, "peak_co2_ppm": 440.09393670954194, "peak_warming_c": 1.8181251970444616, "land_binding": true}, {"draw": 459, "transition_case": "natural_turnover", "land_case": "central", "mature_incremental_cdr_gtco2_yr": 14.22594112635687, "cdr_maturity_year": 2044, "observed_natural_sink_gtc_yr": 5.84696556530782, "permafrost_tau_yr": 53.781058838665054, "first_below_280_year": 2271, "peak_co2_ppm": 451.6688216378172, "peak_warming_c": 1.7509862193008967, "land_binding": false}, {"draw": 460, "transition_case": "delayed_finance", "land_case": "central", "mature_incremental_cdr_gtco2_yr": 14.832159291005434, "cdr_maturity_year": 2047, "observed_natural_sink_gtc_yr": 6.761539768302215, "permafrost_tau_yr": 55.02720299896012, "first_below_280_year": 2177, "peak_co2_ppm": 451.7253231077334, "peak_warming_c": 1.8542155690987439, "land_binding": false}, {"draw": 461, "transition_case": "high_acceleration", "land_case": "low_efficiency", "mature_incremental_cdr_gtco2_yr": 14.433536451567335, "cdr_maturity_year": 2047, "observed_natural_sink_gtc_yr": 5.990191245047918, "permafrost_tau_yr": 38.49915508352276, "first_below_280_year": 2243, "peak_co2_ppm": 439.9206428037934, "peak_warming_c": 1.8226623559746518, "land_binding": true}, {"draw": 462, "transition_case": "natural_turnover", "land_case": "central", "mature_incremental_cdr_gtco2_yr": 12.745746857046743, "cdr_maturity_year": 2050, "observed_natural_sink_gtc_yr": 5.713018463095946, "permafrost_tau_yr": 46.603604586579635, "first_below_280_year": 2305, "peak_co2_ppm": 456.5237201487304, "peak_warming_c": 1.792594605279674, "land_binding": false}, {"draw": 463, "transition_case": "iea_nze_reference", "land_case": "central", "mature_incremental_cdr_gtco2_yr": 15.156014798109778, "cdr_maturity_year": 2049, "observed_natural_sink_gtc_yr": 6.694969003961865, "permafrost_tau_yr": 43.72458902952357, "first_below_280_year": 2157, "peak_co2_ppm": 439.5964838030043, "peak_warming_c": 1.8010090193991206, "land_binding": false}, {"draw": 464, "transition_case": "iea_nze_reference", "land_case": "central", "mature_incremental_cdr_gtco2_yr": 10.64902147197607, "cdr_maturity_year": 2047, "observed_natural_sink_gtc_yr": 6.773533084268886, "permafrost_tau_yr": 47.0541017893633, "first_below_280_year": 2221, "peak_co2_ppm": 439.92777296568437, "peak_warming_c": 1.8127481905647918, "land_binding": false}, {"draw": 465, "transition_case": "iea_nze_reference", "land_case": "high_efficiency", "mature_incremental_cdr_gtco2_yr": 14.995495129778469, "cdr_maturity_year": 2048, "observed_natural_sink_gtc_yr": 6.348665342969866, "permafrost_tau_yr": 48.65152930887158, "first_below_280_year": 2159, "peak_co2_ppm": 440.11924330300087, "peak_warming_c": 1.7990691614221304, "land_binding": false}, {"draw": 466, "transition_case": "iea_nze_reference", "land_case": "low_efficiency", "mature_incremental_cdr_gtco2_yr": 13.561034687674509, "cdr_maturity_year": 2045, "observed_natural_sink_gtc_yr": 6.360372008557069, "permafrost_tau_yr": 57.52242924703877, "first_below_280_year": 2261, "peak_co2_ppm": 440.40051264993076, "peak_warming_c": 1.8168666968149878, "land_binding": true}, {"draw": 467, "transition_case": "iea_nze_reference", "land_case": "central", "mature_incremental_cdr_gtco2_yr": 14.598228591746004, "cdr_maturity_year": 2042, "observed_natural_sink_gtc_yr": 5.975840939192942, "permafrost_tau_yr": 37.53284613026195, "first_below_280_year": 2163, "peak_co2_ppm": 440.0810273703013, "peak_warming_c": 1.7912640044397847, "land_binding": false}, {"draw": 468, "transition_case": "delayed_finance", "land_case": "central", "mature_incremental_cdr_gtco2_yr": 14.371434221644568, "cdr_maturity_year": 2043, "observed_natural_sink_gtc_yr": 5.986768980654976, "permafrost_tau_yr": 57.52740128409681, "first_below_280_year": 2180, "peak_co2_ppm": 452.2293424603354, "peak_warming_c": 1.8519773447025125, "land_binding": false}, {"draw": 469, "transition_case": "delayed_finance", "land_case": "low_efficiency", "mature_incremental_cdr_gtco2_yr": 15.198494860627004, "cdr_maturity_year": 2051, "observed_natural_sink_gtc_yr": 6.051308978210551, "permafrost_tau_yr": 43.422830320639974, "first_below_280_year": 2261, "peak_co2_ppm": 454.743991707639, "peak_warming_c": 1.8940158661725437, "land_binding": true}, {"draw": 470, "transition_case": "high_acceleration", "land_case": "central", "mature_incremental_cdr_gtco2_yr": 12.916931025142247, "cdr_maturity_year": 2041, "observed_natural_sink_gtc_yr": 5.893190501847736, "permafrost_tau_yr": 57.51445630237633, "first_below_280_year": 2180, "peak_co2_ppm": 439.3395150498681, "peak_warming_c": 1.7973212291343792, "land_binding": false}, {"draw": 471, "transition_case": "current_investment_constrained", "land_case": "central", "mature_incremental_cdr_gtco2_yr": 14.126624244568038, "cdr_maturity_year": 2050, "observed_natural_sink_gtc_yr": 6.533139892916767, "permafrost_tau_yr": 54.259034881538625, "first_below_280_year": 2175, "peak_co2_ppm": 443.8805005924535, "peak_warming_c": 1.820977744280208, "land_binding": false}, {"draw": 472, "transition_case": "delayed_finance", "land_case": "central", "mature_incremental_cdr_gtco2_yr": 15.356670450650968, "cdr_maturity_year": 2047, "observed_natural_sink_gtc_yr": 6.195580698252452, "permafrost_tau_yr": 41.56885894294716, "first_below_280_year": 2172, "peak_co2_ppm": 452.7003022434751, "peak_warming_c": 1.859199005445391, "land_binding": false}, {"draw": 473, "transition_case": "delayed_finance", "land_case": "central", "mature_incremental_cdr_gtco2_yr": 13.25154998329235, "cdr_maturity_year": 2046, "observed_natural_sink_gtc_yr": 6.02380915801849, "permafrost_tau_yr": 39.962415311153535, "first_below_280_year": 2199, "peak_co2_ppm": 453.6202451832012, "peak_warming_c": 1.869662652846819, "land_binding": false}, {"draw": 474, "transition_case": "delayed_finance", "land_case": "central", "mature_incremental_cdr_gtco2_yr": 14.397423516137934, "cdr_maturity_year": 2044, "observed_natural_sink_gtc_yr": 6.152991199469776, "permafrost_tau_yr": 34.65894849156018, "first_below_280_year": 2181, "peak_co2_ppm": 452.2994190785855, "peak_warming_c": 1.8548465579415607, "land_binding": false}, {"draw": 475, "transition_case": "iea_nze_reference", "land_case": "central", "mature_incremental_cdr_gtco2_yr": 12.66694057671008, "cdr_maturity_year": 2043, "observed_natural_sink_gtc_yr": 6.927542875989523, "permafrost_tau_yr": 35.939250741050316, "first_below_280_year": 2185, "peak_co2_ppm": 438.94471994337937, "peak_warming_c": 1.7920447320304893, "land_binding": false}, {"draw": 476, "transition_case": "high_acceleration", "land_case": "low_efficiency", "mature_incremental_cdr_gtco2_yr": 14.599676274755545, "cdr_maturity_year": 2043, "observed_natural_sink_gtc_yr": 6.617193034522128, "permafrost_tau_yr": 40.19391633791322, "first_below_280_year": 2237, "peak_co2_ppm": 438.6173925074642, "peak_warming_c": 1.8067675628936648, "land_binding": true}, {"draw": 477, "transition_case": "natural_turnover", "land_case": "central", "mature_incremental_cdr_gtco2_yr": 15.742203394870229, "cdr_maturity_year": 2053, "observed_natural_sink_gtc_yr": 6.059622790679886, "permafrost_tau_yr": 34.571188368932276, "first_below_280_year": 2246, "peak_co2_ppm": 454.81828204816406, "peak_warming_c": 1.761258365540997, "land_binding": false}, {"draw": 478, "transition_case": "delayed_finance", "land_case": "central", "mature_incremental_cdr_gtco2_yr": 14.78354965158099, "cdr_maturity_year": 2042, "observed_natural_sink_gtc_yr": 6.6153961592255905, "permafrost_tau_yr": 65.66264743467126, "first_below_280_year": 2173, "peak_co2_ppm": 450.42037529165407, "peak_warming_c": 1.837532312062474, "land_binding": false}, {"draw": 479, "transition_case": "natural_turnover", "land_case": "high_efficiency", "mature_incremental_cdr_gtco2_yr": 12.68650978066222, "cdr_maturity_year": 2045, "observed_natural_sink_gtc_yr": 6.066391866925657, "permafrost_tau_yr": 38.739718263592295, "first_below_280_year": 2301, "peak_co2_ppm": 453.2139972243813, "peak_warming_c": 1.762595560126026, "land_binding": false}, {"draw": 480, "transition_case": "iea_nze_reference", "land_case": "high_efficiency", "mature_incremental_cdr_gtco2_yr": 14.593194734144921, "cdr_maturity_year": 2051, "observed_natural_sink_gtc_yr": 6.400888558342251, "permafrost_tau_yr": 64.5458011641605, "first_below_280_year": 2167, "peak_co2_ppm": 440.3098084548627, "peak_warming_c": 1.8058065719294754, "land_binding": false}, {"draw": 481, "transition_case": "current_investment_constrained", "land_case": "central", "mature_incremental_cdr_gtco2_yr": 14.80162816521252, "cdr_maturity_year": 2050, "observed_natural_sink_gtc_yr": 6.9144637075931, "permafrost_tau_yr": 63.82833243433108, "first_below_280_year": 2168, "peak_co2_ppm": 443.0120593167021, "peak_warming_c": 1.812990911104624, "land_binding": false}, {"draw": 482, "transition_case": "natural_turnover", "land_case": "central", "mature_incremental_cdr_gtco2_yr": 14.527446328911221, "cdr_maturity_year": 2042, "observed_natural_sink_gtc_yr": 6.367983168468344, "permafrost_tau_yr": 50.35663497440781, "first_below_280_year": 2260, "peak_co2_ppm": 449.0425784306841, "peak_warming_c": 1.733406138022689, "land_binding": false}, {"draw": 483, "transition_case": "current_investment_constrained", "land_case": "high_efficiency", "mature_incremental_cdr_gtco2_yr": 14.233203553132078, "cdr_maturity_year": 2044, "observed_natural_sink_gtc_yr": 6.540121189908301, "permafrost_tau_yr": 55.216116541491175, "first_below_280_year": 2171, "peak_co2_ppm": 442.87406438094763, "peak_warming_c": 1.796067662343617, "land_binding": false}, {"draw": 484, "transition_case": "natural_turnover", "land_case": "central", "mature_incremental_cdr_gtco2_yr": 15.500494337405078, "cdr_maturity_year": 2046, "observed_natural_sink_gtc_yr": 6.422988883762108, "permafrost_tau_yr": 55.17482088751299, "first_below_280_year": 2247, "peak_co2_ppm": 450.65691210264936, "peak_warming_c": 1.7324677314497785, "land_binding": false}, {"draw": 485, "transition_case": "current_investment_constrained", "land_case": "high_efficiency", "mature_incremental_cdr_gtco2_yr": 13.94606250703585, "cdr_maturity_year": 2050, "observed_natural_sink_gtc_yr": 5.885897400014296, "permafrost_tau_yr": 46.95784095939224, "first_below_280_year": 2182, "peak_co2_ppm": 445.19311895659405, "peak_warming_c": 1.8251777405205902, "land_binding": false}, {"draw": 486, "transition_case": "natural_turnover", "land_case": "low_efficiency", "mature_incremental_cdr_gtco2_yr": 14.552671942549749, "cdr_maturity_year": 2050, "observed_natural_sink_gtc_yr": 6.511896895722638, "permafrost_tau_yr": 62.323621252249694, "first_below_280_year": 2392, "peak_co2_ppm": 454.90596951716304, "peak_warming_c": 1.8343606945097584, "land_binding": true}, {"draw": 487, "transition_case": "high_acceleration", "land_case": "central", "mature_incremental_cdr_gtco2_yr": 13.269020298809146, "cdr_maturity_year": 2047, "observed_natural_sink_gtc_yr": 6.706840168979463, "permafrost_tau_yr": 48.77793772592156, "first_below_280_year": 2174, "peak_co2_ppm": 438.54480927526305, "peak_warming_c": 1.8027843579547713, "land_binding": false}, {"draw": 488, "transition_case": "iea_nze_reference", "land_case": "central", "mature_incremental_cdr_gtco2_yr": 14.374364153339304, "cdr_maturity_year": 2042, "observed_natural_sink_gtc_yr": 6.884159736838307, "permafrost_tau_yr": 58.005764001962994, "first_below_280_year": 2161, "peak_co2_ppm": 438.5612221987595, "peak_warming_c": 1.7801798308797119, "land_binding": false}, {"draw": 489, "transition_case": "iea_nze_reference", "land_case": "low_efficiency", "mature_incremental_cdr_gtco2_yr": 13.834560729476337, "cdr_maturity_year": 2051, "observed_natural_sink_gtc_yr": 6.592943514281007, "permafrost_tau_yr": 67.67527590015739, "first_below_280_year": 2257, "peak_co2_ppm": 440.29565595382365, "peak_warming_c": 1.8221826983626075, "land_binding": true}, {"draw": 490, "transition_case": "high_acceleration", "land_case": "central", "mature_incremental_cdr_gtco2_yr": 10.915435373075345, "cdr_maturity_year": 2043, "observed_natural_sink_gtc_yr": 6.763349629457174, "permafrost_tau_yr": 50.05546419739361, "first_below_280_year": 2209, "peak_co2_ppm": 438.42504847279173, "peak_warming_c": 1.801380013406022, "land_binding": false}, {"draw": 491, "transition_case": "delayed_finance", "land_case": "central", "mature_incremental_cdr_gtco2_yr": 14.974260922662902, "cdr_maturity_year": 2049, "observed_natural_sink_gtc_yr": 6.035965816026369, "permafrost_tau_yr": 38.22174224808799, "first_below_280_year": 2176, "peak_co2_ppm": 453.69960525299297, "peak_warming_c": 1.8702850567032838, "land_binding": false}, {"draw": 492, "transition_case": "delayed_finance", "land_case": "low_efficiency", "mature_incremental_cdr_gtco2_yr": 11.936500018601766, "cdr_maturity_year": 2044, "observed_natural_sink_gtc_yr": 6.0207824740866265, "permafrost_tau_yr": 60.74545775392376, "first_below_280_year": 2331, "peak_co2_ppm": 454.46410618105597, "peak_warming_c": 1.8910839367326981, "land_binding": true}, {"draw": 493, "transition_case": "natural_turnover", "land_case": "central", "mature_incremental_cdr_gtco2_yr": 14.739496956191612, "cdr_maturity_year": 2049, "observed_natural_sink_gtc_yr": 5.422825224499577, "permafrost_tau_yr": 41.59683522404906, "first_below_280_year": 2264, "peak_co2_ppm": 455.06173858805823, "peak_warming_c": 1.766920591083943, "land_binding": false}, {"draw": 494, "transition_case": "natural_turnover", "land_case": "central", "mature_incremental_cdr_gtco2_yr": 13.244961085470319, "cdr_maturity_year": 2041, "observed_natural_sink_gtc_yr": 6.444167217592748, "permafrost_tau_yr": 50.998035238662276, "first_below_280_year": 2285, "peak_co2_ppm": 449.28437960071074, "peak_warming_c": 1.749240615414422, "land_binding": false}, {"draw": 495, "transition_case": "delayed_finance", "land_case": "central", "mature_incremental_cdr_gtco2_yr": 15.755560251594847, "cdr_maturity_year": 2045, "observed_natural_sink_gtc_yr": 5.771248278290386, "permafrost_tau_yr": 51.22049367308642, "first_below_280_year": 2168, "peak_co2_ppm": 452.78984892120445, "peak_warming_c": 1.8541383135621474, "land_binding": true}, {"draw": 496, "transition_case": "high_acceleration", "land_case": "central", "mature_incremental_cdr_gtco2_yr": 11.786960457131888, "cdr_maturity_year": 2043, "observed_natural_sink_gtc_yr": 6.823850014059285, "permafrost_tau_yr": 35.40150092285023, "first_below_280_year": 2193, "peak_co2_ppm": 438.2338449502659, "peak_warming_c": 1.798054615208179, "land_binding": false}, {"draw": 497, "transition_case": "delayed_finance", "land_case": "central", "mature_incremental_cdr_gtco2_yr": 14.938664537720346, "cdr_maturity_year": 2050, "observed_natural_sink_gtc_yr": 6.521943613443151, "permafrost_tau_yr": 44.89331806743283, "first_below_280_year": 2178, "peak_co2_ppm": 452.9248614725793, "peak_warming_c": 1.8669359173132616, "land_binding": false}, {"draw": 498, "transition_case": "iea_nze_reference", "land_case": "central", "mature_incremental_cdr_gtco2_yr": 14.253849688885822, "cdr_maturity_year": 2043, "observed_natural_sink_gtc_yr": 6.962085243253583, "permafrost_tau_yr": 49.89297831154464, "first_below_280_year": 2164, "peak_co2_ppm": 438.5857148227675, "peak_warming_c": 1.7836771844073354, "land_binding": false}, {"draw": 499, "transition_case": "current_investment_constrained", "land_case": "central", "mature_incremental_cdr_gtco2_yr": 14.769538577597265, "cdr_maturity_year": 2045, "observed_natural_sink_gtc_yr": 5.686880024132242, "permafrost_tau_yr": 39.887630574615706, "first_below_280_year": 2168, "peak_co2_ppm": 444.6026845189831, "peak_warming_c": 1.8135728115833327, "land_binding": false}, {"draw": 500, "transition_case": "current_investment_constrained", "land_case": "central", "mature_incremental_cdr_gtco2_yr": 12.649512132057117, "cdr_maturity_year": 2044, "observed_natural_sink_gtc_yr": 6.58568743543341, "permafrost_tau_yr": 45.151227141604544, "first_below_280_year": 2193, "peak_co2_ppm": 443.24615085677794, "peak_warming_c": 1.810133855832567, "land_binding": false}, {"draw": 501, "transition_case": "high_acceleration", "land_case": "central", "mature_incremental_cdr_gtco2_yr": 15.4824713117973, "cdr_maturity_year": 2045, "observed_natural_sink_gtc_yr": 6.312545439512509, "permafrost_tau_yr": 52.944802422286685, "first_below_280_year": 2151, "peak_co2_ppm": 438.7560695060423, "peak_warming_c": 1.7949338907248307, "land_binding": false}, {"draw": 502, "transition_case": "iea_nze_reference", "land_case": "central", "mature_incremental_cdr_gtco2_yr": 11.857791874853223, "cdr_maturity_year": 2049, "observed_natural_sink_gtc_yr": 5.852399442494021, "permafrost_tau_yr": 36.441216354796964, "first_below_280_year": 2203, "peak_co2_ppm": 441.54648629816415, "peak_warming_c": 1.824142502754616, "land_binding": false}, {"draw": 503, "transition_case": "delayed_finance", "land_case": "central", "mature_incremental_cdr_gtco2_yr": 14.739800532778162, "cdr_maturity_year": 2043, "observed_natural_sink_gtc_yr": 6.7866387737769305, "permafrost_tau_yr": 45.10455839333163, "first_below_280_year": 2175, "peak_co2_ppm": 450.5342705702524, "peak_warming_c": 1.8403711423562035, "land_binding": false}, {"draw": 504, "transition_case": "current_investment_constrained", "land_case": "central", "mature_incremental_cdr_gtco2_yr": 13.401382404580051, "cdr_maturity_year": 2045, "observed_natural_sink_gtc_yr": 6.211009011610438, "permafrost_tau_yr": 55.09108897610272, "first_below_280_year": 2184, "peak_co2_ppm": 443.912939852863, "peak_warming_c": 1.8133678245785565, "land_binding": false}, {"draw": 505, "transition_case": "high_acceleration", "land_case": "central", "mature_incremental_cdr_gtco2_yr": 12.759718830830215, "cdr_maturity_year": 2047, "observed_natural_sink_gtc_yr": 6.40524871600777, "permafrost_tau_yr": 51.206286159621634, "first_below_280_year": 2183, "peak_co2_ppm": 439.09849787785447, "peak_warming_c": 1.808166281217317, "land_binding": false}, {"draw": 506, "transition_case": "current_investment_constrained", "land_case": "low_efficiency", "mature_incremental_cdr_gtco2_yr": 12.919061900605268, "cdr_maturity_year": 2045, "observed_natural_sink_gtc_yr": 5.961778645718136, "permafrost_tau_yr": 43.19775535513182, "first_below_280_year": 2288, "peak_co2_ppm": 445.1787406014374, "peak_warming_c": 1.8390746473185653, "land_binding": true}, {"draw": 507, "transition_case": "current_investment_constrained", "land_case": "central", "mature_incremental_cdr_gtco2_yr": 10.812862928674008, "cdr_maturity_year": 2045, "observed_natural_sink_gtc_yr": 5.873037016034295, "permafrost_tau_yr": 57.74292230216729, "first_below_280_year": 2230, "peak_co2_ppm": 445.25842127716476, "peak_warming_c": 1.831482926339418, "land_binding": false}, {"draw": 508, "transition_case": "natural_turnover", "land_case": "low_efficiency", "mature_incremental_cdr_gtco2_yr": 15.621222363475766, "cdr_maturity_year": 2051, "observed_natural_sink_gtc_yr": 6.645540350346856, "permafrost_tau_yr": 49.269949329326685, "first_below_280_year": 2365, "peak_co2_ppm": 454.4606611103412, "peak_warming_c": 1.8224627908987383, "land_binding": true}, {"draw": 509, "transition_case": "delayed_finance", "land_case": "central", "mature_incremental_cdr_gtco2_yr": 13.387935759420909, "cdr_maturity_year": 2045, "observed_natural_sink_gtc_yr": 6.00005543001317, "permafrost_tau_yr": 49.39800214502787, "first_below_280_year": 2194, "peak_co2_ppm": 453.28292606459496, "peak_warming_c": 1.8651122407878595, "land_binding": false}, {"draw": 510, "transition_case": "natural_turnover", "land_case": "central", "mature_incremental_cdr_gtco2_yr": 13.175318638505926, "cdr_maturity_year": 2050, "observed_natural_sink_gtc_yr": 5.785737241964765, "permafrost_tau_yr": 52.72855184513286, "first_below_280_year": 2293, "peak_co2_ppm": 455.9486675423806, "peak_warming_c": 1.7848253348498064, "land_binding": false}, {"draw": 511, "transition_case": "current_investment_constrained", "land_case": "high_efficiency", "mature_incremental_cdr_gtco2_yr": 14.961792080975803, "cdr_maturity_year": 2042, "observed_natural_sink_gtc_yr": 7.010924397439918, "permafrost_tau_yr": 34.119741295964985, "first_below_280_year": 2161, "peak_co2_ppm": 441.3546489875255, "peak_warming_c": 1.7800775620729232, "land_binding": false}, {"draw": 512, "transition_case": "iea_nze_reference", "land_case": "central", "mature_incremental_cdr_gtco2_yr": 13.579451954207215, "cdr_maturity_year": 2045, "observed_natural_sink_gtc_yr": 6.371340018216757, "permafrost_tau_yr": 52.22929775040107, "first_below_280_year": 2173, "peak_co2_ppm": 439.9693352404063, "peak_warming_c": 1.7999400919144655, "land_binding": false}, {"draw": 513, "transition_case": "current_investment_constrained", "land_case": "low_efficiency", "mature_incremental_cdr_gtco2_yr": 12.493802476922278, "cdr_maturity_year": 2042, "observed_natural_sink_gtc_yr": 5.694491849118459, "permafrost_tau_yr": 47.997097447335584, "first_below_280_year": 2299, "peak_co2_ppm": 445.31434802388856, "peak_warming_c": 1.8377856880166934, "land_binding": true}, {"draw": 514, "transition_case": "high_acceleration", "land_case": "central", "mature_incremental_cdr_gtco2_yr": 13.261373149815686, "cdr_maturity_year": 2052, "observed_natural_sink_gtc_yr": 6.755496803589921, "permafrost_tau_yr": 39.76833282125891, "first_below_280_year": 2179, "peak_co2_ppm": 438.7722894506636, "peak_warming_c": 1.8120302837094955, "land_binding": false}, {"draw": 515, "transition_case": "high_acceleration", "land_case": "central", "mature_incremental_cdr_gtco2_yr": 15.831851102592749, "cdr_maturity_year": 2043, "observed_natural_sink_gtc_yr": 6.38091813631769, "permafrost_tau_yr": 42.99316345419008, "first_below_280_year": 2147, "peak_co2_ppm": 438.38172408956996, "peak_warming_c": 1.7867044011151185, "land_binding": true}, {"draw": 516, "transition_case": "delayed_finance", "land_case": "central", "mature_incremental_cdr_gtco2_yr": 15.147155777036211, "cdr_maturity_year": 2044, "observed_natural_sink_gtc_yr": 6.860831117071492, "permafrost_tau_yr": 47.404895175413756, "first_below_280_year": 2172, "peak_co2_ppm": 450.5616369984615, "peak_warming_c": 1.8405443734282876, "land_binding": false}, {"draw": 517, "transition_case": "current_investment_constrained", "land_case": "central", "mature_incremental_cdr_gtco2_yr": 15.402568340569955, "cdr_maturity_year": 2041, "observed_natural_sink_gtc_yr": 6.738859128163231, "permafrost_tau_yr": 60.42106319820314, "first_below_280_year": 2157, "peak_co2_ppm": 441.3881654378219, "peak_warming_c": 1.7800743846982883, "land_binding": false}, {"draw": 518, "transition_case": "current_investment_constrained", "land_case": "high_efficiency", "mature_incremental_cdr_gtco2_yr": 15.180819746992485, "cdr_maturity_year": 2049, "observed_natural_sink_gtc_yr": 6.621258089033623, "permafrost_tau_yr": 37.826130156094834, "first_below_280_year": 2163, "peak_co2_ppm": 443.41506729534103, "peak_warming_c": 1.8084685208716424, "land_binding": false}, {"draw": 519, "transition_case": "current_investment_constrained", "land_case": "central", "mature_incremental_cdr_gtco2_yr": 15.7800123434015, "cdr_maturity_year": 2047, "observed_natural_sink_gtc_yr": 6.31256671436282, "permafrost_tau_yr": 52.89479662325931, "first_below_280_year": 2159, "peak_co2_ppm": 443.5002134865079, "peak_warming_c": 1.8069265073666443, "land_binding": true}, {"draw": 520, "transition_case": "natural_turnover", "land_case": "low_efficiency", "mature_incremental_cdr_gtco2_yr": 15.247895636283069, "cdr_maturity_year": 2046, "observed_natural_sink_gtc_yr": 6.518843180901085, "permafrost_tau_yr": 61.81973153031861, "first_below_280_year": 2373, "peak_co2_ppm": 452.97339558281186, "peak_warming_c": 1.8174643752562978, "land_binding": true}, {"draw": 521, "transition_case": "high_acceleration", "land_case": "central", "mature_incremental_cdr_gtco2_yr": 12.866169723847928, "cdr_maturity_year": 2045, "observed_natural_sink_gtc_yr": 6.357084546833247, "permafrost_tau_yr": 62.48845693302397, "first_below_280_year": 2182, "peak_co2_ppm": 438.9989220693028, "peak_warming_c": 1.8033550088390282, "land_binding": false}, {"draw": 522, "transition_case": "delayed_finance", "land_case": "low_efficiency", "mature_incremental_cdr_gtco2_yr": 13.038160321130286, "cdr_maturity_year": 2041, "observed_natural_sink_gtc_yr": 7.015308001000089, "permafrost_tau_yr": 57.04244984944775, "first_below_280_year": 2294, "peak_co2_ppm": 451.4276896843734, "peak_warming_c": 1.8683257526186912, "land_binding": true}, {"draw": 523, "transition_case": "current_investment_constrained", "land_case": "low_efficiency", "mature_incremental_cdr_gtco2_yr": 15.533519644457074, "cdr_maturity_year": 2040, "observed_natural_sink_gtc_yr": 6.137464159625406, "permafrost_tau_yr": 39.69375002296435, "first_below_280_year": 2235, "peak_co2_ppm": 443.48886719079394, "peak_warming_c": 1.81599877933988, "land_binding": true}, {"draw": 524, "transition_case": "current_investment_constrained", "land_case": "central", "mature_incremental_cdr_gtco2_yr": 14.454982276504946, "cdr_maturity_year": 2045, "observed_natural_sink_gtc_yr": 5.663405338176131, "permafrost_tau_yr": 31.559243798096656, "first_below_280_year": 2173, "peak_co2_ppm": 444.7705696727328, "peak_warming_c": 1.8164039672362369, "land_binding": false}, {"draw": 525, "transition_case": "delayed_finance", "land_case": "central", "mature_incremental_cdr_gtco2_yr": 14.922322716238204, "cdr_maturity_year": 2044, "observed_natural_sink_gtc_yr": 6.574764635367238, "permafrost_tau_yr": 61.162826554923186, "first_below_280_year": 2174, "peak_co2_ppm": 451.17486500523376, "peak_warming_c": 1.8447638661814691, "land_binding": false}, {"draw": 526, "transition_case": "high_acceleration", "land_case": "low_efficiency", "mature_incremental_cdr_gtco2_yr": 12.21000973446142, "cdr_maturity_year": 2047, "observed_natural_sink_gtc_yr": 6.573179395187686, "permafrost_tau_yr": 54.83244504278802, "first_below_280_year": 2288, "peak_co2_ppm": 439.0785317314866, "peak_warming_c": 1.819630017449394, "land_binding": true}, {"draw": 527, "transition_case": "current_investment_constrained", "land_case": "high_efficiency", "mature_incremental_cdr_gtco2_yr": 15.237364858394299, "cdr_maturity_year": 2042, "observed_natural_sink_gtc_yr": 6.285397824799607, "permafrost_tau_yr": 46.139434311263784, "first_below_280_year": 2160, "peak_co2_ppm": 442.5836676007315, "peak_warming_c": 1.7865809717881165, "land_binding": false}, {"draw": 528, "transition_case": "natural_turnover", "land_case": "central", "mature_incremental_cdr_gtco2_yr": 12.257757448909658, "cdr_maturity_year": 2048, "observed_natural_sink_gtc_yr": 6.072957972989861, "permafrost_tau_yr": 49.33419785956826, "first_below_280_year": 2315, "peak_co2_ppm": 455.173709668043, "peak_warming_c": 1.7894002624418885, "land_binding": false}, {"draw": 529, "transition_case": "natural_turnover", "land_case": "high_efficiency", "mature_incremental_cdr_gtco2_yr": 12.190836843371379, "cdr_maturity_year": 2045, "observed_natural_sink_gtc_yr": 6.927537085956682, "permafrost_tau_yr": 53.20521063728607, "first_below_280_year": 2312, "peak_co2_ppm": 451.73985443999106, "peak_warming_c": 1.7576100461658815, "land_binding": false}, {"draw": 530, "transition_case": "high_acceleration", "land_case": "central", "mature_incremental_cdr_gtco2_yr": 13.017259683731933, "cdr_maturity_year": 2042, "observed_natural_sink_gtc_yr": 6.272700630609539, "permafrost_tau_yr": 38.04387076469151, "first_below_280_year": 2179, "peak_co2_ppm": 438.8537092233462, "peak_warming_c": 1.7964670425286375, "land_binding": false}, {"draw": 531, "transition_case": "iea_nze_reference", "land_case": "central", "mature_incremental_cdr_gtco2_yr": 14.973211043548488, "cdr_maturity_year": 2045, "observed_natural_sink_gtc_yr": 5.723261936948634, "permafrost_tau_yr": 65.17173664422354, "first_below_280_year": 2161, "peak_co2_ppm": 440.8625908407439, "peak_warming_c": 1.8018809176941737, "land_binding": false}, {"draw": 532, "transition_case": "natural_turnover", "land_case": "central", "mature_incremental_cdr_gtco2_yr": 13.335796837407834, "cdr_maturity_year": 2047, "observed_natural_sink_gtc_yr": 6.206550508351602, "permafrost_tau_yr": 54.22534677764247, "first_below_280_year": 2288, "peak_co2_ppm": 453.36516714254356, "peak_warming_c": 1.7679501895293221, "land_binding": false}, {"draw": 533, "transition_case": "iea_nze_reference", "land_case": "low_efficiency", "mature_incremental_cdr_gtco2_yr": 14.811970727657512, "cdr_maturity_year": 2051, "observed_natural_sink_gtc_yr": 6.139995679108648, "permafrost_tau_yr": 59.544594771817074, "first_below_280_year": 2242, "peak_co2_ppm": 441.02187700672823, "peak_warming_c": 1.8259376751852519, "land_binding": true}, {"draw": 534, "transition_case": "natural_turnover", "land_case": "central", "mature_incremental_cdr_gtco2_yr": 15.182756396361462, "cdr_maturity_year": 2046, "observed_natural_sink_gtc_yr": 6.716744697455873, "permafrost_tau_yr": 58.317663016919774, "first_below_280_year": 2251, "peak_co2_ppm": 450.26389934613985, "peak_warming_c": 1.7324238060350077, "land_binding": false}, {"draw": 535, "transition_case": "current_investment_constrained", "land_case": "low_efficiency", "mature_incremental_cdr_gtco2_yr": 10.36945005018767, "cdr_maturity_year": 2050, "observed_natural_sink_gtc_yr": 6.353997666757668, "permafrost_tau_yr": 41.61850339603786, "first_below_280_year": 2367, "peak_co2_ppm": 445.3427749320433, "peak_warming_c": 1.8512186704499827, "land_binding": true}, {"draw": 536, "transition_case": "iea_nze_reference", "land_case": "low_efficiency", "mature_incremental_cdr_gtco2_yr": 13.321491207240895, "cdr_maturity_year": 2043, "observed_natural_sink_gtc_yr": 6.46346648667137, "permafrost_tau_yr": 49.637505178425066, "first_below_280_year": 2264, "peak_co2_ppm": 440.0965932740187, "peak_warming_c": 1.8125858584310006, "land_binding": true}, {"draw": 537, "transition_case": "current_investment_constrained", "land_case": "central", "mature_incremental_cdr_gtco2_yr": 15.187988142138519, "cdr_maturity_year": 2047, "observed_natural_sink_gtc_yr": 6.445090976596843, "permafrost_tau_yr": 52.51032174659211, "first_below_280_year": 2164, "peak_co2_ppm": 443.3898364573031, "peak_warming_c": 1.8082157528619582, "land_binding": false}, {"draw": 538, "transition_case": "current_investment_constrained", "land_case": "high_efficiency", "mature_incremental_cdr_gtco2_yr": 12.997193030244329, "cdr_maturity_year": 2054, "observed_natural_sink_gtc_yr": 6.011720375593343, "permafrost_tau_yr": 57.860519183295956, "first_below_280_year": 2196, "peak_co2_ppm": 445.6076431153592, "peak_warming_c": 1.835022392704557, "land_binding": false}, {"draw": 539, "transition_case": "iea_nze_reference", "land_case": "low_efficiency", "mature_incremental_cdr_gtco2_yr": 11.580811403249687, "cdr_maturity_year": 2054, "observed_natural_sink_gtc_yr": 6.396823783101451, "permafrost_tau_yr": 44.289299804263706, "first_below_280_year": 2315, "peak_co2_ppm": 440.9503579062397, "peak_warming_c": 1.8332586376348674, "land_binding": true}, {"draw": 540, "transition_case": "iea_nze_reference", "land_case": "central", "mature_incremental_cdr_gtco2_yr": 14.52973097723998, "cdr_maturity_year": 2048, "observed_natural_sink_gtc_yr": 6.824743940645823, "permafrost_tau_yr": 53.915858449541155, "first_below_280_year": 2164, "peak_co2_ppm": 439.34559459222396, "peak_warming_c": 1.7987554006639435, "land_binding": false}, {"draw": 541, "transition_case": "delayed_finance", "land_case": "central", "mature_incremental_cdr_gtco2_yr": 14.71676251682996, "cdr_maturity_year": 2047, "observed_natural_sink_gtc_yr": 6.6939041226369635, "permafrost_tau_yr": 34.60294202937511, "first_below_280_year": 2176, "peak_co2_ppm": 451.99082572261335, "peak_warming_c": 1.8570664664067802, "land_binding": false}, {"draw": 542, "transition_case": "high_acceleration", "land_case": "central", "mature_incremental_cdr_gtco2_yr": 15.951734971448161, "cdr_maturity_year": 2042, "observed_natural_sink_gtc_yr": 6.2027740262470115, "permafrost_tau_yr": 51.4893409883538, "first_below_280_year": 2146, "peak_co2_ppm": 438.50676960039067, "peak_warming_c": 1.7841661933207762, "land_binding": true}, {"draw": 543, "transition_case": "iea_nze_reference", "land_case": "low_efficiency", "mature_incremental_cdr_gtco2_yr": 12.548208973918703, "cdr_maturity_year": 2054, "observed_natural_sink_gtc_yr": 5.805365528866856, "permafrost_tau_yr": 43.26358394831581, "first_below_280_year": 2291, "peak_co2_ppm": 441.9530226696985, "peak_warming_c": 1.8387210950708268, "land_binding": true}, {"draw": 544, "transition_case": "iea_nze_reference", "land_case": "central", "mature_incremental_cdr_gtco2_yr": 13.323081910198848, "cdr_maturity_year": 2044, "observed_natural_sink_gtc_yr": 6.4500041314457395, "permafrost_tau_yr": 49.07712694274909, "first_below_280_year": 2177, "peak_co2_ppm": 439.75784752493627, "peak_warming_c": 1.7972014992990304, "land_binding": false}, {"draw": 545, "transition_case": "iea_nze_reference", "land_case": "high_efficiency", "mature_incremental_cdr_gtco2_yr": 12.44085269711366, "cdr_maturity_year": 2041, "observed_natural_sink_gtc_yr": 5.904507808540315, "permafrost_tau_yr": 58.17351058650113, "first_below_280_year": 2188, "peak_co2_ppm": 440.4213318521606, "peak_warming_c": 1.7942416650004718, "land_binding": false}, {"draw": 546, "transition_case": "current_investment_constrained", "land_case": "central", "mature_incremental_cdr_gtco2_yr": 13.632924846467901, "cdr_maturity_year": 2044, "observed_natural_sink_gtc_yr": 6.5236543779317895, "permafrost_tau_yr": 52.57791917810165, "first_below_280_year": 2181, "peak_co2_ppm": 443.0747126126284, "peak_warming_c": 1.8048949808593526, "land_binding": false}, {"draw": 547, "transition_case": "natural_turnover", "land_case": "low_efficiency", "mature_incremental_cdr_gtco2_yr": 15.10192137070962, "cdr_maturity_year": 2044, "observed_natural_sink_gtc_yr": 5.632798483501727, "permafrost_tau_yr": 50.25952524921804, "first_below_280_year": 2378, "peak_co2_ppm": 454.1220262904279, "peak_warming_c": 1.8292570543918767, "land_binding": true}, {"draw": 548, "transition_case": "current_investment_constrained", "land_case": "central", "mature_incremental_cdr_gtco2_yr": 13.625082442515655, "cdr_maturity_year": 2052, "observed_natural_sink_gtc_yr": 6.964311094256941, "permafrost_tau_yr": 49.01713873631632, "first_below_280_year": 2181, "peak_co2_ppm": 443.4427347624052, "peak_warming_c": 1.8226285043183146, "land_binding": false}, {"draw": 549, "transition_case": "current_investment_constrained", "land_case": "central", "mature_incremental_cdr_gtco2_yr": 13.209759207543447, "cdr_maturity_year": 2042, "observed_natural_sink_gtc_yr": 5.817703032118928, "permafrost_tau_yr": 58.55878729035325, "first_below_280_year": 2188, "peak_co2_ppm": 444.06322382957865, "peak_warming_c": 1.8092141512661233, "land_binding": false}, {"draw": 550, "transition_case": "iea_nze_reference", "land_case": "central", "mature_incremental_cdr_gtco2_yr": 14.579055478841445, "cdr_maturity_year": 2042, "observed_natural_sink_gtc_yr": 6.535943633622182, "permafrost_tau_yr": 46.31977177435439, "first_below_280_year": 2160, "peak_co2_ppm": 439.12215107419206, "peak_warming_c": 1.7839215501373245, "land_binding": false}, {"draw": 551, "transition_case": "delayed_finance", "land_case": "central", "mature_incremental_cdr_gtco2_yr": 14.740613597907734, "cdr_maturity_year": 2042, "observed_natural_sink_gtc_yr": 6.127732331408389, "permafrost_tau_yr": 49.41247716869073, "first_below_280_year": 2175, "peak_co2_ppm": 451.4364211794566, "peak_warming_c": 1.844575789314188, "land_binding": false}, {"draw": 552, "transition_case": "current_investment_constrained", "land_case": "central", "mature_incremental_cdr_gtco2_yr": 15.040104374094147, "cdr_maturity_year": 2043, "observed_natural_sink_gtc_yr": 5.896549961286562, "permafrost_tau_yr": 51.398694463828996, "first_below_280_year": 2164, "peak_co2_ppm": 443.63881568826446, "peak_warming_c": 1.801035715649481, "land_binding": false}, {"draw": 553, "transition_case": "high_acceleration", "land_case": "central", "mature_incremental_cdr_gtco2_yr": 13.080698229951938, "cdr_maturity_year": 2043, "observed_natural_sink_gtc_yr": 6.229819705397074, "permafrost_tau_yr": 43.15788025698545, "first_below_280_year": 2176, "peak_co2_ppm": 439.0184637562536, "peak_warming_c": 1.7994786342287195, "land_binding": false}, {"draw": 554, "transition_case": "natural_turnover", "land_case": "central", "mature_incremental_cdr_gtco2_yr": 14.583686288200122, "cdr_maturity_year": 2042, "observed_natural_sink_gtc_yr": 6.19814476194323, "permafrost_tau_yr": 60.06071717303318, "first_below_280_year": 2261, "peak_co2_ppm": 449.3147653840693, "peak_warming_c": 1.7343015409919615, "land_binding": false}, {"draw": 555, "transition_case": "delayed_finance", "land_case": "central", "mature_incremental_cdr_gtco2_yr": 14.781242611526281, "cdr_maturity_year": 2049, "observed_natural_sink_gtc_yr": 6.944224590501343, "permafrost_tau_yr": 41.98887142049927, "first_below_280_year": 2177, "peak_co2_ppm": 451.9324260913787, "peak_warming_c": 1.8597502259636338, "land_binding": false}, {"draw": 556, "transition_case": "current_investment_constrained", "land_case": "high_efficiency", "mature_incremental_cdr_gtco2_yr": 12.969578513905898, "cdr_maturity_year": 2046, "observed_natural_sink_gtc_yr": 6.73757044942752, "permafrost_tau_yr": 60.546027039956975, "first_below_280_year": 2190, "peak_co2_ppm": 443.191489165695, "peak_warming_c": 1.8070365606167955, "land_binding": false}, {"draw": 557, "transition_case": "iea_nze_reference", "land_case": "central", "mature_incremental_cdr_gtco2_yr": 13.778485858443558, "cdr_maturity_year": 2042, "observed_natural_sink_gtc_yr": 6.245956944248559, "permafrost_tau_yr": 47.28497903426782, "first_below_280_year": 2171, "peak_co2_ppm": 439.74004531539424, "peak_warming_c": 1.7911843289319924, "land_binding": false}, {"draw": 558, "transition_case": "iea_nze_reference", "land_case": "central", "mature_incremental_cdr_gtco2_yr": 14.321862430835893, "cdr_maturity_year": 2048, "observed_natural_sink_gtc_yr": 6.459357561826264, "permafrost_tau_yr": 48.132305660345835, "first_below_280_year": 2167, "peak_co2_ppm": 440.0227208161484, "peak_warming_c": 1.8043099095282449, "land_binding": false}, {"draw": 559, "transition_case": "iea_nze_reference", "land_case": "central", "mature_incremental_cdr_gtco2_yr": 14.74278234071285, "cdr_maturity_year": 2042, "observed_natural_sink_gtc_yr": 6.394164104908443, "permafrost_tau_yr": 54.961952664674726, "first_below_280_year": 2160, "peak_co2_ppm": 439.3205331559057, "peak_warming_c": 1.784480484026305, "land_binding": false}, {"draw": 560, "transition_case": "iea_nze_reference", "land_case": "central", "mature_incremental_cdr_gtco2_yr": 13.049858853996088, "cdr_maturity_year": 2042, "observed_natural_sink_gtc_yr": 6.0566125090611465, "permafrost_tau_yr": 38.84101144088046, "first_below_280_year": 2181, "peak_co2_ppm": 440.2375248464692, "peak_warming_c": 1.7974585491048567, "land_binding": false}, {"draw": 561, "transition_case": "high_acceleration", "land_case": "low_efficiency", "mature_incremental_cdr_gtco2_yr": 13.967097098981032, "cdr_maturity_year": 2041, "observed_natural_sink_gtc_yr": 6.324557862882673, "permafrost_tau_yr": 50.444500357640585, "first_below_280_year": 2247, "peak_co2_ppm": 438.9756382509765, "peak_warming_c": 1.8070895420252264, "land_binding": true}, {"draw": 562, "transition_case": "high_acceleration", "land_case": "high_efficiency", "mature_incremental_cdr_gtco2_yr": 11.456041696722611, "cdr_maturity_year": 2041, "observed_natural_sink_gtc_yr": 6.6537974963384805, "permafrost_tau_yr": 61.5141666955078, "first_below_280_year": 2201, "peak_co2_ppm": 438.30178910220866, "peak_warming_c": 1.7911100746264799, "land_binding": false}, {"draw": 563, "transition_case": "natural_turnover", "land_case": "central", "mature_incremental_cdr_gtco2_yr": 14.088036135806817, "cdr_maturity_year": 2041, "observed_natural_sink_gtc_yr": 6.078415751472621, "permafrost_tau_yr": 52.495933969491816, "first_below_280_year": 2270, "peak_co2_ppm": 449.25394088310543, "peak_warming_c": 1.7407271312047519, "land_binding": false}, {"draw": 564, "transition_case": "current_investment_constrained", "land_case": "high_efficiency", "mature_incremental_cdr_gtco2_yr": 14.642165460925508, "cdr_maturity_year": 2051, "observed_natural_sink_gtc_yr": 6.473382542540085, "permafrost_tau_yr": 50.48521111369476, "first_below_280_year": 2170, "peak_co2_ppm": 444.0155276749024, "peak_warming_c": 1.8171296061171311, "land_binding": false}, {"draw": 565, "transition_case": "iea_nze_reference", "land_case": "low_efficiency", "mature_incremental_cdr_gtco2_yr": 15.005291125374393, "cdr_maturity_year": 2045, "observed_natural_sink_gtc_yr": 6.4387093848159545, "permafrost_tau_yr": 38.92172463336047, "first_below_280_year": 2236, "peak_co2_ppm": 440.15422042001217, "peak_warming_c": 1.8129245342906688, "land_binding": true}, {"draw": 566, "transition_case": "current_investment_constrained", "land_case": "central", "mature_incremental_cdr_gtco2_yr": 14.212898977386956, "cdr_maturity_year": 2045, "observed_natural_sink_gtc_yr": 5.669182343244854, "permafrost_tau_yr": 48.86360335341042, "first_below_280_year": 2176, "peak_co2_ppm": 444.750333293246, "peak_warming_c": 1.8162034250168093, "land_binding": false}, {"draw": 567, "transition_case": "high_acceleration", "land_case": "central", "mature_incremental_cdr_gtco2_yr": 12.825228184605233, "cdr_maturity_year": 2042, "observed_natural_sink_gtc_yr": 5.701612696796695, "permafrost_tau_yr": 50.71845879940602, "first_below_280_year": 2181, "peak_co2_ppm": 439.81211659526235, "peak_warming_c": 1.8035120536326454, "land_binding": false}, {"draw": 568, "transition_case": "high_acceleration", "land_case": "central", "mature_incremental_cdr_gtco2_yr": 15.474734553371636, "cdr_maturity_year": 2045, "observed_natural_sink_gtc_yr": 6.359780582102812, "permafrost_tau_yr": 67.15005644368723, "first_below_280_year": 2151, "peak_co2_ppm": 438.66293485983255, "peak_warming_c": 1.793928432583131, "land_binding": false}, {"draw": 569, "transition_case": "natural_turnover", "land_case": "high_efficiency", "mature_incremental_cdr_gtco2_yr": 14.0721446721105, "cdr_maturity_year": 2049, "observed_natural_sink_gtc_yr": 6.755055810868557, "permafrost_tau_yr": 45.685211313664425, "first_below_280_year": 2272, "peak_co2_ppm": 452.6839912129142, "peak_warming_c": 1.7449899250452954, "land_binding": false}, {"draw": 570, "transition_case": "iea_nze_reference", "land_case": "low_efficiency", "mature_incremental_cdr_gtco2_yr": 15.256073347758269, "cdr_maturity_year": 2052, "observed_natural_sink_gtc_yr": 5.846882421793102, "permafrost_tau_yr": 54.375244255961704, "first_below_280_year": 2237, "peak_co2_ppm": 441.55792027104695, "peak_warming_c": 1.8301026517971732, "land_binding": true}, {"draw": 571, "transition_case": "iea_nze_reference", "land_case": "high_efficiency", "mature_incremental_cdr_gtco2_yr": 12.033341305283647, "cdr_maturity_year": 2048, "observed_natural_sink_gtc_yr": 6.224096029351424, "permafrost_tau_yr": 58.08643681041532, "first_below_280_year": 2198, "peak_co2_ppm": 440.7431398316005, "peak_warming_c": 1.811324578012043, "land_binding": false}, {"draw": 572, "transition_case": "current_investment_constrained", "land_case": "central", "mature_incremental_cdr_gtco2_yr": 14.105367009904162, "cdr_maturity_year": 2050, "observed_natural_sink_gtc_yr": 6.549502121747933, "permafrost_tau_yr": 63.64887431544308, "first_below_280_year": 2178, "peak_co2_ppm": 443.83628475997637, "peak_warming_c": 1.8204774431322581, "land_binding": false}, {"draw": 573, "transition_case": "natural_turnover", "land_case": "central", "mature_incremental_cdr_gtco2_yr": 14.120596144266361, "cdr_maturity_year": 2049, "observed_natural_sink_gtc_yr": 6.049913431959388, "permafrost_tau_yr": 38.96198028837928, "first_below_280_year": 2272, "peak_co2_ppm": 454.2089467751428, "peak_warming_c": 1.7663692027024542, "land_binding": false}, {"draw": 574, "transition_case": "high_acceleration", "land_case": "central", "mature_incremental_cdr_gtco2_yr": 15.49485955064514, "cdr_maturity_year": 2044, "observed_natural_sink_gtc_yr": 6.470561437169933, "permafrost_tau_yr": 44.15970714221283, "first_below_280_year": 2150, "peak_co2_ppm": 438.3985262763782, "peak_warming_c": 1.7903400553217832, "land_binding": false}, {"draw": 575, "transition_case": "current_investment_constrained", "land_case": "high_efficiency", "mature_incremental_cdr_gtco2_yr": 12.367157918572975, "cdr_maturity_year": 2043, "observed_natural_sink_gtc_yr": 6.061767426263414, "permafrost_tau_yr": 46.23960404425498, "first_below_280_year": 2199, "peak_co2_ppm": 444.1091623850628, "peak_warming_c": 1.8100086692368353, "land_binding": false}, {"draw": 576, "transition_case": "current_investment_constrained", "land_case": "central", "mature_incremental_cdr_gtco2_yr": 13.88984441859888, "cdr_maturity_year": 2046, "observed_natural_sink_gtc_yr": 5.881999307974492, "permafrost_tau_yr": 38.81376646438744, "first_below_280_year": 2178, "peak_co2_ppm": 444.6400595800151, "peak_warming_c": 1.8193305148328291, "land_binding": false}, {"draw": 577, "transition_case": "current_investment_constrained", "land_case": "low_efficiency", "mature_incremental_cdr_gtco2_yr": 12.108732175166805, "cdr_maturity_year": 2045, "observed_natural_sink_gtc_yr": 5.749643400016421, "permafrost_tau_yr": 48.1105635021447, "first_below_280_year": 2312, "peak_co2_ppm": 445.73439941717595, "peak_warming_c": 1.8444604765449384, "land_binding": true}, {"draw": 578, "transition_case": "delayed_finance", "land_case": "high_efficiency", "mature_incremental_cdr_gtco2_yr": 12.112688668343155, "cdr_maturity_year": 2042, "observed_natural_sink_gtc_yr": 5.782396084743245, "permafrost_tau_yr": 38.721181653188026, "first_below_280_year": 2215, "peak_co2_ppm": 453.3413594936572, "peak_warming_c": 1.8617161565483238, "land_binding": false}, {"draw": 579, "transition_case": "iea_nze_reference", "land_case": "high_efficiency", "mature_incremental_cdr_gtco2_yr": 13.146033514236528, "cdr_maturity_year": 2050, "observed_natural_sink_gtc_yr": 6.378878250771693, "permafrost_tau_yr": 44.66873765820279, "first_below_280_year": 2182, "peak_co2_ppm": 440.49438048617105, "peak_warming_c": 1.810025417088815, "land_binding": false}, {"draw": 580, "transition_case": "natural_turnover", "land_case": "central", "mature_incremental_cdr_gtco2_yr": 12.197608133364133, "cdr_maturity_year": 2044, "observed_natural_sink_gtc_yr": 7.084301539802721, "permafrost_tau_yr": 54.324361252764206, "first_below_280_year": 2311, "peak_co2_ppm": 450.7984628235704, "peak_warming_c": 1.766022703356836, "land_binding": false}, {"draw": 581, "transition_case": "current_investment_constrained", "land_case": "central", "mature_incremental_cdr_gtco2_yr": 14.69029454377782, "cdr_maturity_year": 2049, "observed_natural_sink_gtc_yr": 6.547064992303342, "permafrost_tau_yr": 40.647584154783566, "first_below_280_year": 2170, "peak_co2_ppm": 443.6480898126632, "peak_warming_c": 1.8164554307615306, "land_binding": false}, {"draw": 582, "transition_case": "natural_turnover", "land_case": "central", "mature_incremental_cdr_gtco2_yr": 13.032507958773794, "cdr_maturity_year": 2042, "observed_natural_sink_gtc_yr": 6.531500785876137, "permafrost_tau_yr": 48.42674797111749, "first_below_280_year": 2290, "peak_co2_ppm": 449.94778043479334, "peak_warming_c": 1.754545347556848, "land_binding": false}, {"draw": 583, "transition_case": "natural_turnover", "land_case": "high_efficiency", "mature_incremental_cdr_gtco2_yr": 12.85364417225122, "cdr_maturity_year": 2044, "observed_natural_sink_gtc_yr": 7.051456688810513, "permafrost_tau_yr": 43.445762917778914, "first_below_280_year": 2296, "peak_co2_ppm": 450.341895860809, "peak_warming_c": 1.74362686319993, "land_binding": false}, {"draw": 584, "transition_case": "high_acceleration", "land_case": "central", "mature_incremental_cdr_gtco2_yr": 13.811185982967288, "cdr_maturity_year": 2049, "observed_natural_sink_gtc_yr": 6.586793741046752, "permafrost_tau_yr": 38.98527849109771, "first_below_280_year": 2170, "peak_co2_ppm": 438.8377688578901, "peak_warming_c": 1.8072441160353598, "land_binding": false}, {"draw": 585, "transition_case": "current_investment_constrained", "land_case": "central", "mature_incremental_cdr_gtco2_yr": 12.132771117497573, "cdr_maturity_year": 2044, "observed_natural_sink_gtc_yr": 6.5296683138804985, "permafrost_tau_yr": 40.06413204026529, "first_below_280_year": 2200, "peak_co2_ppm": 443.5096846663215, "peak_warming_c": 1.8141277979821937, "land_binding": false}, {"draw": 586, "transition_case": "current_investment_constrained", "land_case": "central", "mature_incremental_cdr_gtco2_yr": 15.178373387796524, "cdr_maturity_year": 2048, "observed_natural_sink_gtc_yr": 5.685765156184595, "permafrost_tau_yr": 39.85941058445096, "first_below_280_year": 2167, "peak_co2_ppm": 445.0337017235221, "peak_warming_c": 1.822107378498019, "land_binding": false}, {"draw": 587, "transition_case": "iea_nze_reference", "land_case": "central", "mature_incremental_cdr_gtco2_yr": 13.357369852263364, "cdr_maturity_year": 2046, "observed_natural_sink_gtc_yr": 6.464005698102605, "permafrost_tau_yr": 55.69363334609682, "first_below_280_year": 2176, "peak_co2_ppm": 439.9481761284722, "peak_warming_c": 1.8024525938389724, "land_binding": false}, {"draw": 588, "transition_case": "current_investment_constrained", "land_case": "central", "mature_incremental_cdr_gtco2_yr": 15.122844746875554, "cdr_maturity_year": 2049, "observed_natural_sink_gtc_yr": 6.620388081088183, "permafrost_tau_yr": 49.423020216122666, "first_below_280_year": 2165, "peak_co2_ppm": 443.3907630240095, "peak_warming_c": 1.8130197951298672, "land_binding": false}, {"draw": 589, "transition_case": "iea_nze_reference", "land_case": "central", "mature_incremental_cdr_gtco2_yr": 13.501856924852552, "cdr_maturity_year": 2052, "observed_natural_sink_gtc_yr": 6.6623264791448396, "permafrost_tau_yr": 48.9805688965463, "first_below_280_year": 2179, "peak_co2_ppm": 440.07920400340856, "peak_warming_c": 1.812956907213069, "land_binding": false}, {"draw": 590, "transition_case": "delayed_finance", "land_case": "central", "mature_incremental_cdr_gtco2_yr": 10.419302764556367, "cdr_maturity_year": 2042, "observed_natural_sink_gtc_yr": 6.40585037792543, "permafrost_tau_yr": 56.1835659213523, "first_below_280_year": 2249, "peak_co2_ppm": 452.8830662350953, "peak_warming_c": 1.8705364440957069, "land_binding": false}, {"draw": 591, "transition_case": "current_investment_constrained", "land_case": "low_efficiency", "mature_incremental_cdr_gtco2_yr": 10.723641509461753, "cdr_maturity_year": 2042, "observed_natural_sink_gtc_yr": 6.268520439113394, "permafrost_tau_yr": 50.78393642438685, "first_below_280_year": 2350, "peak_co2_ppm": 444.59115624686495, "peak_warming_c": 1.8376586138982047, "land_binding": true}, {"draw": 592, "transition_case": "high_acceleration", "land_case": "central", "mature_incremental_cdr_gtco2_yr": 14.820067640770164, "cdr_maturity_year": 2050, "observed_natural_sink_gtc_yr": 5.921075911762762, "permafrost_tau_yr": 55.69462899306462, "first_below_280_year": 2162, "peak_co2_ppm": 439.8756526788642, "peak_warming_c": 1.8131546934975329, "land_binding": false}, {"draw": 593, "transition_case": "iea_nze_reference", "land_case": "high_efficiency", "mature_incremental_cdr_gtco2_yr": 14.406980258982784, "cdr_maturity_year": 2045, "observed_natural_sink_gtc_yr": 6.347755846721425, "permafrost_tau_yr": 39.6747017954787, "first_below_280_year": 2165, "peak_co2_ppm": 439.9027171402774, "peak_warming_c": 1.7937990596494897, "land_binding": false}, {"draw": 594, "transition_case": "iea_nze_reference", "land_case": "central", "mature_incremental_cdr_gtco2_yr": 14.815324233351177, "cdr_maturity_year": 2045, "observed_natural_sink_gtc_yr": 6.218909398438277, "permafrost_tau_yr": 58.63599396623903, "first_below_280_year": 2160, "peak_co2_ppm": 440.02268147453424, "peak_warming_c": 1.7966130206678694, "land_binding": false}, {"draw": 595, "transition_case": "iea_nze_reference", "land_case": "central", "mature_incremental_cdr_gtco2_yr": 12.063529211495883, "cdr_maturity_year": 2044, "observed_natural_sink_gtc_yr": 6.086560983478023, "permafrost_tau_yr": 63.880145722827876, "first_below_280_year": 2196, "peak_co2_ppm": 440.5914307526952, "peak_warming_c": 1.8067383980078655, "land_binding": false}, {"draw": 596, "transition_case": "delayed_finance", "land_case": "low_efficiency", "mature_incremental_cdr_gtco2_yr": 13.560218177578987, "cdr_maturity_year": 2046, "observed_natural_sink_gtc_yr": 6.01176766802821, "permafrost_tau_yr": 41.65695351357752, "first_below_280_year": 2291, "peak_co2_ppm": 454.4716394106415, "peak_warming_c": 1.8899570627702322, "land_binding": true}, {"draw": 597, "transition_case": "current_investment_constrained", "land_case": "high_efficiency", "mature_incremental_cdr_gtco2_yr": 13.240787676701007, "cdr_maturity_year": 2053, "observed_natural_sink_gtc_yr": 6.422870243301915, "permafrost_tau_yr": 46.56180145225945, "first_below_280_year": 2188, "peak_co2_ppm": 444.68789034330115, "peak_warming_c": 1.8277996781737915, "land_binding": false}, {"draw": 598, "transition_case": "natural_turnover", "land_case": "low_efficiency", "mature_incremental_cdr_gtco2_yr": 14.390023371029386, "cdr_maturity_year": 2046, "observed_natural_sink_gtc_yr": 5.80103098600768, "permafrost_tau_yr": 49.60682433361666, "first_below_280_year": 2398, "peak_co2_ppm": 455.0925128970558, "peak_warming_c": 1.8403637966700226, "land_binding": true}, {"draw": 599, "transition_case": "natural_turnover", "land_case": "central", "mature_incremental_cdr_gtco2_yr": 11.731616407824562, "cdr_maturity_year": 2046, "observed_natural_sink_gtc_yr": 6.039776402685153, "permafrost_tau_yr": 54.02498403371242, "first_below_280_year": 2329, "peak_co2_ppm": 454.6305587276122, "peak_warming_c": 1.7931140048237624, "land_binding": false}, {"draw": 600, "transition_case": "iea_nze_reference", "land_case": "low_efficiency", "mature_incremental_cdr_gtco2_yr": 15.282807592844497, "cdr_maturity_year": 2044, "observed_natural_sink_gtc_yr": 5.964277185836716, "permafrost_tau_yr": 39.4676286133661, "first_below_280_year": 2232, "peak_co2_ppm": 440.87013336618065, "peak_warming_c": 1.8157361697655836, "land_binding": true}, {"draw": 601, "transition_case": "delayed_finance", "land_case": "low_efficiency", "mature_incremental_cdr_gtco2_yr": 12.190376626117265, "cdr_maturity_year": 2044, "observed_natural_sink_gtc_yr": 6.605670376663316, "permafrost_tau_yr": 63.29833809932388, "first_below_280_year": 2320, "peak_co2_ppm": 453.211735614813, "peak_warming_c": 1.8826603964391477, "land_binding": true}, {"draw": 602, "transition_case": "current_investment_constrained", "land_case": "high_efficiency", "mature_incremental_cdr_gtco2_yr": 13.431648658183471, "cdr_maturity_year": 2044, "observed_natural_sink_gtc_yr": 5.696274422332495, "permafrost_tau_yr": 66.55917307343117, "first_below_280_year": 2185, "peak_co2_ppm": 444.6704637673618, "peak_warming_c": 1.8108602227481914, "land_binding": false}, {"draw": 603, "transition_case": "delayed_finance", "land_case": "low_efficiency", "mature_incremental_cdr_gtco2_yr": 13.728873374524293, "cdr_maturity_year": 2051, "observed_natural_sink_gtc_yr": 5.888128513452664, "permafrost_tau_yr": 48.12721238796708, "first_below_280_year": 2289, "peak_co2_ppm": 455.35874835431633, "peak_warming_c": 1.9002201728847539, "land_binding": true}, {"draw": 604, "transition_case": "iea_nze_reference", "land_case": "central", "mature_incremental_cdr_gtco2_yr": 14.269956694099822, "cdr_maturity_year": 2042, "observed_natural_sink_gtc_yr": 6.268310761685407, "permafrost_tau_yr": 46.80574883562022, "first_below_280_year": 2164, "peak_co2_ppm": 439.6118022086399, "peak_warming_c": 1.7886189205968346, "land_binding": false}, {"draw": 605, "transition_case": "iea_nze_reference", "land_case": "central", "mature_incremental_cdr_gtco2_yr": 14.80610162373829, "cdr_maturity_year": 2052, "observed_natural_sink_gtc_yr": 5.7973122976211275, "permafrost_tau_yr": 55.20750068650969, "first_below_280_year": 2166, "peak_co2_ppm": 441.4297137715631, "peak_warming_c": 1.8190896462909418, "land_binding": false}, {"draw": 606, "transition_case": "delayed_finance", "land_case": "low_efficiency", "mature_incremental_cdr_gtco2_yr": 15.398138165110883, "cdr_maturity_year": 2051, "observed_natural_sink_gtc_yr": 6.333722649888205, "permafrost_tau_yr": 59.16676679243807, "first_below_280_year": 2255, "peak_co2_ppm": 454.08023720576836, "peak_warming_c": 1.888912056813307, "land_binding": true}, {"draw": 607, "transition_case": "natural_turnover", "land_case": "central", "mature_incremental_cdr_gtco2_yr": 15.393693197705742, "cdr_maturity_year": 2046, "observed_natural_sink_gtc_yr": 6.156266686342478, "permafrost_tau_yr": 58.14843689387082, "first_below_280_year": 2248, "peak_co2_ppm": 451.2793115931664, "peak_warming_c": 1.7371831732081395, "land_binding": false}, {"draw": 608, "transition_case": "iea_nze_reference", "land_case": "central", "mature_incremental_cdr_gtco2_yr": 13.661727289644134, "cdr_maturity_year": 2044, "observed_natural_sink_gtc_yr": 5.704438084642802, "permafrost_tau_yr": 62.15689610328199, "first_below_280_year": 2175, "peak_co2_ppm": 440.9907838655962, "peak_warming_c": 1.804407731351374, "land_binding": false}, {"draw": 609, "transition_case": "current_investment_constrained", "land_case": "high_efficiency", "mature_incremental_cdr_gtco2_yr": 13.448159795445614, "cdr_maturity_year": 2043, "observed_natural_sink_gtc_yr": 6.150782697618425, "permafrost_tau_yr": 55.69561909577453, "first_below_280_year": 2184, "peak_co2_ppm": 443.6048582834966, "peak_warming_c": 1.801973148710754, "land_binding": false}, {"draw": 610, "transition_case": "current_investment_constrained", "land_case": "central", "mature_incremental_cdr_gtco2_yr": 13.928367853251565, "cdr_maturity_year": 2050, "observed_natural_sink_gtc_yr": 6.248948056084308, "permafrost_tau_yr": 45.07051658077094, "first_below_280_year": 2181, "peak_co2_ppm": 444.4976977843104, "peak_warming_c": 1.825882263639683, "land_binding": false}, {"draw": 611, "transition_case": "delayed_finance", "land_case": "central", "mature_incremental_cdr_gtco2_yr": 14.37772970521602, "cdr_maturity_year": 2042, "observed_natural_sink_gtc_yr": 6.477864108660294, "permafrost_tau_yr": 51.993807756023614, "first_below_280_year": 2178, "peak_co2_ppm": 450.89694094687246, "peak_warming_c": 1.8424628520191677, "land_binding": false}, {"draw": 612, "transition_case": "high_acceleration", "land_case": "low_efficiency", "mature_incremental_cdr_gtco2_yr": 15.342015905669223, "cdr_maturity_year": 2049, "observed_natural_sink_gtc_yr": 6.145223260605125, "permafrost_tau_yr": 54.663994347525595, "first_below_280_year": 2229, "peak_co2_ppm": 439.6620056453007, "peak_warming_c": 1.8207637322469676, "land_binding": true}, {"draw": 613, "transition_case": "delayed_finance", "land_case": "central", "mature_incremental_cdr_gtco2_yr": 14.442963786164803, "cdr_maturity_year": 2045, "observed_natural_sink_gtc_yr": 6.74588876569508, "permafrost_tau_yr": 48.619762133503926, "first_below_280_year": 2178, "peak_co2_ppm": 451.3537835728955, "peak_warming_c": 1.8497644478169517, "land_binding": false}, {"draw": 614, "transition_case": "iea_nze_reference", "land_case": "low_efficiency", "mature_incremental_cdr_gtco2_yr": 14.925542271171345, "cdr_maturity_year": 2046, "observed_natural_sink_gtc_yr": 6.956488214215647, "permafrost_tau_yr": 56.660372863002706, "first_below_280_year": 2234, "peak_co2_ppm": 439.2993682000176, "peak_warming_c": 1.807907232232595, "land_binding": true}, {"draw": 615, "transition_case": "iea_nze_reference", "land_case": "central", "mature_incremental_cdr_gtco2_yr": 14.671739099695351, "cdr_maturity_year": 2043, "observed_natural_sink_gtc_yr": 6.440201602313993, "permafrost_tau_yr": 52.86464860279139, "first_below_280_year": 2161, "peak_co2_ppm": 439.3859130156171, "peak_warming_c": 1.787974254739713, "land_binding": false}, {"draw": 616, "transition_case": "high_acceleration", "land_case": "central", "mature_incremental_cdr_gtco2_yr": 13.830487223442965, "cdr_maturity_year": 2046, "observed_natural_sink_gtc_yr": 6.409174614924334, "permafrost_tau_yr": 45.8212368041203, "first_below_280_year": 2169, "peak_co2_ppm": 438.90082238493255, "peak_warming_c": 1.8024325308942224, "land_binding": false}, {"draw": 617, "transition_case": "iea_nze_reference", "land_case": "central", "mature_incremental_cdr_gtco2_yr": 11.632451251101898, "cdr_maturity_year": 2050, "observed_natural_sink_gtc_yr": 5.875163169741545, "permafrost_tau_yr": 50.27051950440456, "first_below_280_year": 2207, "peak_co2_ppm": 441.5662772503099, "peak_warming_c": 1.825502722014256, "land_binding": false}, {"draw": 618, "transition_case": "iea_nze_reference", "land_case": "central", "mature_incremental_cdr_gtco2_yr": 14.174222964277586, "cdr_maturity_year": 2045, "observed_natural_sink_gtc_yr": 6.355896945212328, "permafrost_tau_yr": 53.19607696280279, "first_below_280_year": 2166, "peak_co2_ppm": 439.8966580013588, "peak_warming_c": 1.7977137193248947, "land_binding": false}, {"draw": 619, "transition_case": "iea_nze_reference", "land_case": "central", "mature_incremental_cdr_gtco2_yr": 15.38462850807446, "cdr_maturity_year": 2043, "observed_natural_sink_gtc_yr": 5.945881534302534, "permafrost_tau_yr": 43.91247065482548, "first_below_280_year": 2157, "peak_co2_ppm": 440.13882839919756, "peak_warming_c": 1.791304584042197, "land_binding": false}, {"draw": 620, "transition_case": "current_investment_constrained", "land_case": "central", "mature_incremental_cdr_gtco2_yr": 13.066728956573245, "cdr_maturity_year": 2042, "observed_natural_sink_gtc_yr": 6.142618381327591, "permafrost_tau_yr": 43.061655460315464, "first_below_280_year": 2189, "peak_co2_ppm": 443.52920303345195, "peak_warming_c": 1.8067918841590018, "land_binding": false}, {"draw": 621, "transition_case": "natural_turnover", "land_case": "central", "mature_incremental_cdr_gtco2_yr": 15.743704478385805, "cdr_maturity_year": 2044, "observed_natural_sink_gtc_yr": 6.696512804440937, "permafrost_tau_yr": 56.59470341091824, "first_below_280_year": 2243, "peak_co2_ppm": 448.7480688942753, "peak_warming_c": 1.7187479979791582, "land_binding": true}, {"draw": 622, "transition_case": "iea_nze_reference", "land_case": "central", "mature_incremental_cdr_gtco2_yr": 12.390331618766643, "cdr_maturity_year": 2047, "observed_natural_sink_gtc_yr": 5.8898849122872825, "permafrost_tau_yr": 65.71307894733431, "first_below_280_year": 2193, "peak_co2_ppm": 441.18708081379674, "peak_warming_c": 1.8157955241022237, "land_binding": false}, {"draw": 623, "transition_case": "iea_nze_reference", "land_case": "central", "mature_incremental_cdr_gtco2_yr": 15.2115750326228, "cdr_maturity_year": 2048, "observed_natural_sink_gtc_yr": 6.125047125740065, "permafrost_tau_yr": 53.88309690114945, "first_below_280_year": 2159, "peak_co2_ppm": 440.47153432397766, "peak_warming_c": 1.8047189959908767, "land_binding": false}, {"draw": 624, "transition_case": "high_acceleration", "land_case": "central", "mature_incremental_cdr_gtco2_yr": 15.17519331328402, "cdr_maturity_year": 2043, "observed_natural_sink_gtc_yr": 6.01869972051402, "permafrost_tau_yr": 41.12596732980916, "first_below_280_year": 2155, "peak_co2_ppm": 439.08137730221824, "peak_warming_c": 1.7938327607286728, "land_binding": false}, {"draw": 625, "transition_case": "current_investment_constrained", "land_case": "high_efficiency", "mature_incremental_cdr_gtco2_yr": 14.983969883324185, "cdr_maturity_year": 2050, "observed_natural_sink_gtc_yr": 6.218955289590629, "permafrost_tau_yr": 53.57445147190117, "first_below_280_year": 2168, "peak_co2_ppm": 444.2979833136615, "peak_warming_c": 1.8161517531458744, "land_binding": false}, {"draw": 626, "transition_case": "current_investment_constrained", "land_case": "central", "mature_incremental_cdr_gtco2_yr": 15.345427989375564, "cdr_maturity_year": 2050, "observed_natural_sink_gtc_yr": 6.399620747927878, "permafrost_tau_yr": 45.89675340622101, "first_below_280_year": 2164, "peak_co2_ppm": 443.9041154200336, "peak_warming_c": 1.8178476841134965, "land_binding": false}, {"draw": 627, "transition_case": "delayed_finance", "land_case": "low_efficiency", "mature_incremental_cdr_gtco2_yr": 14.470935903897065, "cdr_maturity_year": 2050, "observed_natural_sink_gtc_yr": 6.9433847780368465, "permafrost_tau_yr": 41.2715042347964, "first_below_280_year": 2268, "peak_co2_ppm": 452.99570394402485, "peak_warming_c": 1.8835431379826773, "land_binding": true}, {"draw": 628, "transition_case": "current_investment_constrained", "land_case": "central", "mature_incremental_cdr_gtco2_yr": 13.41680340175094, "cdr_maturity_year": 2043, "observed_natural_sink_gtc_yr": 5.844688432617264, "permafrost_tau_yr": 49.17431602689919, "first_below_280_year": 2183, "peak_co2_ppm": 444.21166117409393, "peak_warming_c": 1.8114667371815083, "land_binding": false}, {"draw": 629, "transition_case": "high_acceleration", "land_case": "central", "mature_incremental_cdr_gtco2_yr": 15.311426748853071, "cdr_maturity_year": 2051, "observed_natural_sink_gtc_yr": 5.74973401024936, "permafrost_tau_yr": 44.93991967537262, "first_below_280_year": 2157, "peak_co2_ppm": 440.19199306314545, "peak_warming_c": 1.8162118582871927, "land_binding": false}, {"draw": 630, "transition_case": "iea_nze_reference", "land_case": "central", "mature_incremental_cdr_gtco2_yr": 15.646498748285566, "cdr_maturity_year": 2045, "observed_natural_sink_gtc_yr": 5.993881966581938, "permafrost_tau_yr": 51.15020327927531, "first_below_280_year": 2154, "peak_co2_ppm": 440.29377459777237, "peak_warming_c": 1.796356510427188, "land_binding": true}, {"draw": 631, "transition_case": "iea_nze_reference", "land_case": "high_efficiency", "mature_incremental_cdr_gtco2_yr": 12.717539118254113, "cdr_maturity_year": 2044, "observed_natural_sink_gtc_yr": 6.046342091967366, "permafrost_tau_yr": 52.153871355220694, "first_below_280_year": 2185, "peak_co2_ppm": 440.565593992887, "peak_warming_c": 1.8007089592003476, "land_binding": false}, {"draw": 632, "transition_case": "iea_nze_reference", "land_case": "high_efficiency", "mature_incremental_cdr_gtco2_yr": 15.263089744607006, "cdr_maturity_year": 2043, "observed_natural_sink_gtc_yr": 5.90927278094013, "permafrost_tau_yr": 51.25812457134646, "first_below_280_year": 2157, "peak_co2_ppm": 440.20992918938595, "peak_warming_c": 1.78810455357513, "land_binding": false}, {"draw": 633, "transition_case": "current_investment_constrained", "land_case": "central", "mature_incremental_cdr_gtco2_yr": 15.296681320454338, "cdr_maturity_year": 2042, "observed_natural_sink_gtc_yr": 6.253121143832929, "permafrost_tau_yr": 50.05394570035624, "first_below_280_year": 2161, "peak_co2_ppm": 442.6161406261409, "peak_warming_c": 1.7910990565201592, "land_binding": false}, {"draw": 634, "transition_case": "iea_nze_reference", "land_case": "high_efficiency", "mature_incremental_cdr_gtco2_yr": 11.15882448253533, "cdr_maturity_year": 2042, "observed_natural_sink_gtc_yr": 6.003217868261717, "permafrost_tau_yr": 45.43499360986826, "first_below_280_year": 2213, "peak_co2_ppm": 440.68386901835004, "peak_warming_c": 1.803057290438969, "land_binding": false}, {"draw": 635, "transition_case": "high_acceleration", "land_case": "low_efficiency", "mature_incremental_cdr_gtco2_yr": 13.497983368034355, "cdr_maturity_year": 2052, "observed_natural_sink_gtc_yr": 6.42531955428635, "permafrost_tau_yr": 57.445703914791096, "first_below_280_year": 2261, "peak_co2_ppm": 439.4132420465319, "peak_warming_c": 1.8242701081319366, "land_binding": true}, {"draw": 636, "transition_case": "current_investment_constrained", "land_case": "central", "mature_incremental_cdr_gtco2_yr": 12.992419202849012, "cdr_maturity_year": 2052, "observed_natural_sink_gtc_yr": 6.285189872273539, "permafrost_tau_yr": 65.37595678108347, "first_below_280_year": 2193, "peak_co2_ppm": 444.85087075862646, "peak_warming_c": 1.8327496163131667, "land_binding": false}, {"draw": 637, "transition_case": "iea_nze_reference", "land_case": "low_efficiency", "mature_incremental_cdr_gtco2_yr": 14.540432945388117, "cdr_maturity_year": 2047, "observed_natural_sink_gtc_yr": 6.105053561758197, "permafrost_tau_yr": 43.05412177629576, "first_below_280_year": 2245, "peak_co2_ppm": 440.9189676542309, "peak_warming_c": 1.8219211127030677, "land_binding": true}, {"draw": 638, "transition_case": "iea_nze_reference", "land_case": "high_efficiency", "mature_incremental_cdr_gtco2_yr": 14.82447218292569, "cdr_maturity_year": 2046, "observed_natural_sink_gtc_yr": 6.86150641749206, "permafrost_tau_yr": 46.698192322494464, "first_below_280_year": 2160, "peak_co2_ppm": 439.0419740143152, "peak_warming_c": 1.788466195756893, "land_binding": false}, {"draw": 639, "transition_case": "current_investment_constrained", "land_case": "central", "mature_incremental_cdr_gtco2_yr": 12.48251903896207, "cdr_maturity_year": 2044, "observed_natural_sink_gtc_yr": 6.592957239340355, "permafrost_tau_yr": 47.61063319066018, "first_below_280_year": 2197, "peak_co2_ppm": 443.27076802622, "peak_warming_c": 1.8108395117188583, "land_binding": false}, {"draw": 640, "transition_case": "high_acceleration", "land_case": "central", "mature_incremental_cdr_gtco2_yr": 13.097028754123693, "cdr_maturity_year": 2042, "observed_natural_sink_gtc_yr": 6.205472025923282, "permafrost_tau_yr": 50.503451081733864, "first_below_280_year": 2177, "peak_co2_ppm": 438.92896323557176, "peak_warming_c": 1.7962344895433775, "land_binding": false}, {"draw": 641, "transition_case": "current_investment_constrained", "land_case": "low_efficiency", "mature_incremental_cdr_gtco2_yr": 10.582834915944977, "cdr_maturity_year": 2042, "observed_natural_sink_gtc_yr": 6.149223909238384, "permafrost_tau_yr": 52.16579823739013, "first_below_280_year": 2356, "peak_co2_ppm": 444.851091073357, "peak_warming_c": 1.8396789553439428, "land_binding": true}, {"draw": 642, "transition_case": "current_investment_constrained", "land_case": "central", "mature_incremental_cdr_gtco2_yr": 14.804746682015995, "cdr_maturity_year": 2048, "observed_natural_sink_gtc_yr": 6.256225463685282, "permafrost_tau_yr": 43.715597409457196, "first_below_280_year": 2169, "peak_co2_ppm": 444.0169348570629, "peak_warming_c": 1.816313212608813, "land_binding": false}, {"draw": 643, "transition_case": "high_acceleration", "land_case": "low_efficiency", "mature_incremental_cdr_gtco2_yr": 14.934362947758693, "cdr_maturity_year": 2046, "observed_natural_sink_gtc_yr": 6.640532593277689, "permafrost_tau_yr": 52.72523402717388, "first_below_280_year": 2233, "peak_co2_ppm": 438.7233789416889, "peak_warming_c": 1.8110257865367356, "land_binding": true}, {"draw": 644, "transition_case": "natural_turnover", "land_case": "high_efficiency", "mature_incremental_cdr_gtco2_yr": 14.554108561797195, "cdr_maturity_year": 2046, "observed_natural_sink_gtc_yr": 6.75335487988778, "permafrost_tau_yr": 52.03941880895937, "first_below_280_year": 2263, "peak_co2_ppm": 450.69777470252194, "peak_warming_c": 1.7288794353931918, "land_binding": false}, {"draw": 645, "transition_case": "iea_nze_reference", "land_case": "central", "mature_incremental_cdr_gtco2_yr": 12.570452912607085, "cdr_maturity_year": 2048, "observed_natural_sink_gtc_yr": 6.5372612038323785, "permafrost_tau_yr": 51.073526457251845, "first_below_280_year": 2190, "peak_co2_ppm": 440.1302185627429, "peak_warming_c": 1.8099599576645964, "land_binding": false}, {"draw": 646, "transition_case": "iea_nze_reference", "land_case": "high_efficiency", "mature_incremental_cdr_gtco2_yr": 15.06816649850716, "cdr_maturity_year": 2052, "observed_natural_sink_gtc_yr": 5.783534263180769, "permafrost_tau_yr": 35.3720442988128, "first_below_280_year": 2162, "peak_co2_ppm": 441.47166368387946, "peak_warming_c": 1.8154601148882856, "land_binding": false}, {"draw": 647, "transition_case": "current_investment_constrained", "land_case": "high_efficiency", "mature_incremental_cdr_gtco2_yr": 15.509873694344765, "cdr_maturity_year": 2044, "observed_natural_sink_gtc_yr": 6.5652130483487765, "permafrost_tau_yr": 51.90303699288755, "first_below_280_year": 2158, "peak_co2_ppm": 442.4866848871014, "peak_warming_c": 1.7891324330469685, "land_binding": false}, {"draw": 648, "transition_case": "current_investment_constrained", "land_case": "central", "mature_incremental_cdr_gtco2_yr": 12.429318928823252, "cdr_maturity_year": 2045, "observed_natural_sink_gtc_yr": 5.730458359342797, "permafrost_tau_yr": 48.307176201039226, "first_below_280_year": 2200, "peak_co2_ppm": 445.0946574325466, "peak_warming_c": 1.825083049478269, "land_binding": false}, {"draw": 649, "transition_case": "iea_nze_reference", "land_case": "central", "mature_incremental_cdr_gtco2_yr": 13.502100641076819, "cdr_maturity_year": 2044, "observed_natural_sink_gtc_yr": 5.674475562395502, "permafrost_tau_yr": 62.83650584666047, "first_below_280_year": 2177, "peak_co2_ppm": 441.07087994053705, "peak_warming_c": 1.8054294130789732, "land_binding": false}, {"draw": 650, "transition_case": "iea_nze_reference", "land_case": "central", "mature_incremental_cdr_gtco2_yr": 15.117297659804198, "cdr_maturity_year": 2042, "observed_natural_sink_gtc_yr": 6.260630405953469, "permafrost_tau_yr": 68.88215676152355, "first_below_280_year": 2158, "peak_co2_ppm": 439.4729326535477, "peak_warming_c": 1.7838991985074901, "land_binding": false}, {"draw": 651, "transition_case": "iea_nze_reference", "land_case": "central", "mature_incremental_cdr_gtco2_yr": 10.991879910703492, "cdr_maturity_year": 2043, "observed_natural_sink_gtc_yr": 6.606394907290897, "permafrost_tau_yr": 45.80245272890022, "first_below_280_year": 2213, "peak_co2_ppm": 439.7847810076962, "peak_warming_c": 1.8034659957228916, "land_binding": false}, {"draw": 652, "transition_case": "natural_turnover", "land_case": "central", "mature_incremental_cdr_gtco2_yr": 14.157894638757229, "cdr_maturity_year": 2051, "observed_natural_sink_gtc_yr": 6.910680405040819, "permafrost_tau_yr": 44.8377459047434, "first_below_280_year": 2271, "peak_co2_ppm": 453.234944815587, "peak_warming_c": 1.7602070746727982, "land_binding": false}, {"draw": 653, "transition_case": "natural_turnover", "land_case": "high_efficiency", "mature_incremental_cdr_gtco2_yr": 11.915368438784716, "cdr_maturity_year": 2048, "observed_natural_sink_gtc_yr": 6.526012685442417, "permafrost_tau_yr": 33.71518647925349, "first_below_280_year": 2321, "peak_co2_ppm": 454.66802240545553, "peak_warming_c": 1.7768218217302958, "land_binding": false}, {"draw": 654, "transition_case": "current_investment_constrained", "land_case": "central", "mature_incremental_cdr_gtco2_yr": 11.758801328270524, "cdr_maturity_year": 2049, "observed_natural_sink_gtc_yr": 6.423939418481947, "permafrost_tau_yr": 53.97792837919765, "first_below_280_year": 2212, "peak_co2_ppm": 444.5401675619262, "peak_warming_c": 1.8303138446659806, "land_binding": false}, {"draw": 655, "transition_case": "iea_nze_reference", "land_case": "central", "mature_incremental_cdr_gtco2_yr": 14.223075069198456, "cdr_maturity_year": 2043, "observed_natural_sink_gtc_yr": 6.75933063167413, "permafrost_tau_yr": 40.296975359915514, "first_below_280_year": 2165, "peak_co2_ppm": 438.94167673949073, "peak_warming_c": 1.7867862111764778, "land_binding": false}, {"draw": 656, "transition_case": "delayed_finance", "land_case": "low_efficiency", "mature_incremental_cdr_gtco2_yr": 12.282871532444062, "cdr_maturity_year": 2044, "observed_natural_sink_gtc_yr": 6.086006012660502, "permafrost_tau_yr": 56.570909215042676, "first_below_280_year": 2322, "peak_co2_ppm": 454.24391857802107, "peak_warming_c": 1.88904481465237, "land_binding": true}, {"draw": 657, "transition_case": "natural_turnover", "land_case": "central", "mature_incremental_cdr_gtco2_yr": 13.095374487108487, "cdr_maturity_year": 2052, "observed_natural_sink_gtc_yr": 6.383252439113185, "permafrost_tau_yr": 52.843664635017646, "first_below_280_year": 2295, "peak_co2_ppm": 455.6162349064821, "peak_warming_c": 1.7834494064226176, "land_binding": false}, {"draw": 658, "transition_case": "iea_nze_reference", "land_case": "central", "mature_incremental_cdr_gtco2_yr": 13.915253102910198, "cdr_maturity_year": 2045, "observed_natural_sink_gtc_yr": 6.176577098942431, "permafrost_tau_yr": 53.88509587310529, "first_below_280_year": 2171, "peak_co2_ppm": 440.2527127002163, "peak_warming_c": 1.8009019095560646, "land_binding": false}, {"draw": 659, "transition_case": "iea_nze_reference", "land_case": "low_efficiency", "mature_incremental_cdr_gtco2_yr": 13.982174897803256, "cdr_maturity_year": 2043, "observed_natural_sink_gtc_yr": 5.822790794716245, "permafrost_tau_yr": 37.56904793146296, "first_below_280_year": 2256, "peak_co2_ppm": 441.17862229188074, "peak_warming_c": 1.8193148305412923, "land_binding": true}, {"draw": 660, "transition_case": "natural_turnover", "land_case": "central", "mature_incremental_cdr_gtco2_yr": 15.60534407422868, "cdr_maturity_year": 2046, "observed_natural_sink_gtc_yr": 6.69846068739163, "permafrost_tau_yr": 31.130469713372396, "first_below_280_year": 2243, "peak_co2_ppm": 450.17964367863954, "peak_warming_c": 1.7295590714451208, "land_binding": false}, {"draw": 661, "transition_case": "high_acceleration", "land_case": "central", "mature_incremental_cdr_gtco2_yr": 14.1629139076026, "cdr_maturity_year": 2050, "observed_natural_sink_gtc_yr": 6.024235177582588, "permafrost_tau_yr": 65.60644309726621, "first_below_280_year": 2167, "peak_co2_ppm": 439.7575954519298, "peak_warming_c": 1.813602373784346, "land_binding": false}, {"draw": 662, "transition_case": "current_investment_constrained", "land_case": "low_efficiency", "mature_incremental_cdr_gtco2_yr": 15.165329255249901, "cdr_maturity_year": 2045, "observed_natural_sink_gtc_yr": 6.088625258573532, "permafrost_tau_yr": 49.49540015736327, "first_below_280_year": 2243, "peak_co2_ppm": 444.5055584735833, "peak_warming_c": 1.8293596992577055, "land_binding": true}, {"draw": 663, "transition_case": "delayed_finance", "land_case": "central", "mature_incremental_cdr_gtco2_yr": 14.618776486156657, "cdr_maturity_year": 2043, "observed_natural_sink_gtc_yr": 5.9146226950798, "permafrost_tau_yr": 42.977622846531304, "first_below_280_year": 2179, "peak_co2_ppm": 452.31383054487685, "peak_warming_c": 1.8521381449427925, "land_binding": false}, {"draw": 664, "transition_case": "high_acceleration", "land_case": "central", "mature_incremental_cdr_gtco2_yr": 12.0468001152639, "cdr_maturity_year": 2050, "observed_natural_sink_gtc_yr": 6.072277019703181, "permafrost_tau_yr": 46.53333501783642, "first_below_280_year": 2196, "peak_co2_ppm": 439.9122531232247, "peak_warming_c": 1.820499155378268, "land_binding": false}, {"draw": 665, "transition_case": "iea_nze_reference", "land_case": "central", "mature_incremental_cdr_gtco2_yr": 12.05980516581197, "cdr_maturity_year": 2043, "observed_natural_sink_gtc_yr": 6.485136592691675, "permafrost_tau_yr": 40.33189040412257, "first_below_280_year": 2193, "peak_co2_ppm": 439.8136707648787, "peak_warming_c": 1.8000133786320849, "land_binding": false}, {"draw": 666, "transition_case": "delayed_finance", "land_case": "central", "mature_incremental_cdr_gtco2_yr": 12.75309838659868, "cdr_maturity_year": 2045, "observed_natural_sink_gtc_yr": 6.899662608729251, "permafrost_tau_yr": 36.376943896088925, "first_below_280_year": 2202, "peak_co2_ppm": 451.8147107073618, "peak_warming_c": 1.8589243464749783, "land_binding": false}, {"draw": 667, "transition_case": "delayed_finance", "land_case": "central", "mature_incremental_cdr_gtco2_yr": 14.831585633633551, "cdr_maturity_year": 2051, "observed_natural_sink_gtc_yr": 6.368374149475644, "permafrost_tau_yr": 50.15913360823375, "first_below_280_year": 2180, "peak_co2_ppm": 453.452266541752, "peak_warming_c": 1.8720273050691514, "land_binding": false}, {"draw": 668, "transition_case": "iea_nze_reference", "land_case": "central", "mature_incremental_cdr_gtco2_yr": 15.753127629574685, "cdr_maturity_year": 2046, "observed_natural_sink_gtc_yr": 6.659286478484309, "permafrost_tau_yr": 55.80509490158704, "first_below_280_year": 2152, "peak_co2_ppm": 439.2321156931157, "peak_warming_c": 1.7907769878148385, "land_binding": true}, {"draw": 669, "transition_case": "high_acceleration", "land_case": "high_efficiency", "mature_incremental_cdr_gtco2_yr": 13.428149141327927, "cdr_maturity_year": 2042, "observed_natural_sink_gtc_yr": 6.053324117866634, "permafrost_tau_yr": 51.34022109625126, "first_below_280_year": 2173, "peak_co2_ppm": 439.13196334681663, "peak_warming_c": 1.7932187898260867, "land_binding": false}, {"draw": 670, "transition_case": "iea_nze_reference", "land_case": "low_efficiency", "mature_incremental_cdr_gtco2_yr": 15.187130734698583, "cdr_maturity_year": 2042, "observed_natural_sink_gtc_yr": 6.36881980047256, "permafrost_tau_yr": 40.16682721727147, "first_below_280_year": 2232, "peak_co2_ppm": 439.96016866044283, "peak_warming_c": 1.8061767370527724, "land_binding": true}, {"draw": 671, "transition_case": "current_investment_constrained", "land_case": "low_efficiency", "mature_incremental_cdr_gtco2_yr": 12.143707313620075, "cdr_maturity_year": 2042, "observed_natural_sink_gtc_yr": 6.137159285274624, "permafrost_tau_yr": 61.60864914045936, "first_below_280_year": 2307, "peak_co2_ppm": 444.50746351062594, "peak_warming_c": 1.8328394068368272, "land_binding": true}, {"draw": 672, "transition_case": "iea_nze_reference", "land_case": "low_efficiency", "mature_incremental_cdr_gtco2_yr": 14.497659227424261, "cdr_maturity_year": 2044, "observed_natural_sink_gtc_yr": 6.412434734686124, "permafrost_tau_yr": 47.65676872912688, "first_below_280_year": 2244, "peak_co2_ppm": 440.14711797301766, "peak_warming_c": 1.8119130257641918, "land_binding": true}, {"draw": 673, "transition_case": "iea_nze_reference", "land_case": "central", "mature_incremental_cdr_gtco2_yr": 15.141683066283449, "cdr_maturity_year": 2047, "observed_natural_sink_gtc_yr": 6.125486632997787, "permafrost_tau_yr": 65.73694951194965, "first_below_280_year": 2158, "peak_co2_ppm": 440.3615927498028, "peak_warming_c": 1.8019737479749796, "land_binding": false}, {"draw": 674, "transition_case": "natural_turnover", "land_case": "central", "mature_incremental_cdr_gtco2_yr": 15.288082344184017, "cdr_maturity_year": 2042, "observed_natural_sink_gtc_yr": 5.9930934718342295, "permafrost_tau_yr": 50.83794475440228, "first_below_280_year": 2250, "peak_co2_ppm": 449.2410486078766, "peak_warming_c": 1.7276460442565873, "land_binding": false}, {"draw": 675, "transition_case": "current_investment_constrained", "land_case": "central", "mature_incremental_cdr_gtco2_yr": 11.78284873292537, "cdr_maturity_year": 2043, "observed_natural_sink_gtc_yr": 6.56195167395124, "permafrost_tau_yr": 40.57756328636191, "first_below_280_year": 2207, "peak_co2_ppm": 443.3535995557624, "peak_warming_c": 1.8126784270388285, "land_binding": false}, {"draw": 676, "transition_case": "delayed_finance", "land_case": "central", "mature_incremental_cdr_gtco2_yr": 13.396260630259833, "cdr_maturity_year": 2041, "observed_natural_sink_gtc_yr": 6.399948598171791, "permafrost_tau_yr": 51.2535048514376, "first_below_280_year": 2192, "peak_co2_ppm": 451.09103930324864, "peak_warming_c": 1.846573897027397, "land_binding": false}, {"draw": 677, "transition_case": "iea_nze_reference", "land_case": "low_efficiency", "mature_incremental_cdr_gtco2_yr": 13.739496163071992, "cdr_maturity_year": 2043, "observed_natural_sink_gtc_yr": 6.371606377227563, "permafrost_tau_yr": 54.58889616803645, "first_below_280_year": 2256, "peak_co2_ppm": 440.20023701803524, "peak_warming_c": 1.812174873651413, "land_binding": true}, {"draw": 678, "transition_case": "natural_turnover", "land_case": "central", "mature_incremental_cdr_gtco2_yr": 14.145632222740625, "cdr_maturity_year": 2045, "observed_natural_sink_gtc_yr": 6.600125088508734, "permafrost_tau_yr": 52.836894588458165, "first_below_280_year": 2268, "peak_co2_ppm": 450.75678564543546, "peak_warming_c": 1.7450314436363428, "land_binding": false}, {"draw": 679, "transition_case": "iea_nze_reference", "land_case": "central", "mature_incremental_cdr_gtco2_yr": 15.868990269455816, "cdr_maturity_year": 2042, "observed_natural_sink_gtc_yr": 6.5035913369083085, "permafrost_tau_yr": 52.2744519991519, "first_below_280_year": 2148, "peak_co2_ppm": 438.97468745620336, "peak_warming_c": 1.777930284457696, "land_binding": true}, {"draw": 680, "transition_case": "iea_nze_reference", "land_case": "low_efficiency", "mature_incremental_cdr_gtco2_yr": 15.43359983234772, "cdr_maturity_year": 2054, "observed_natural_sink_gtc_yr": 6.295730409750155, "permafrost_tau_yr": 51.322817621492625, "first_below_280_year": 2233, "peak_co2_ppm": 440.84267522599794, "peak_warming_c": 1.8265708798159648, "land_binding": true}, {"draw": 681, "transition_case": "current_investment_constrained", "land_case": "high_efficiency", "mature_incremental_cdr_gtco2_yr": 15.464856460008217, "cdr_maturity_year": 2042, "observed_natural_sink_gtc_yr": 7.0831338712431835, "permafrost_tau_yr": 50.12349574366817, "first_below_280_year": 2156, "peak_co2_ppm": 441.023142882349, "peak_warming_c": 1.7752615202160247, "land_binding": false}, {"draw": 682, "transition_case": "current_investment_constrained", "land_case": "central", "mature_incremental_cdr_gtco2_yr": 15.598291089629557, "cdr_maturity_year": 2046, "observed_natural_sink_gtc_yr": 7.026707296883008, "permafrost_tau_yr": 50.510254273244186, "first_below_280_year": 2158, "peak_co2_ppm": 442.0296850606803, "peak_warming_c": 1.795369039126836, "land_binding": false}, {"draw": 683, "transition_case": "high_acceleration", "land_case": "central", "mature_incremental_cdr_gtco2_yr": 13.93324407085393, "cdr_maturity_year": 2045, "observed_natural_sink_gtc_yr": 7.0764520637064035, "permafrost_tau_yr": 48.887032522271795, "first_below_280_year": 2164, "peak_co2_ppm": 437.69310961088945, "peak_warming_c": 1.7915335276493944, "land_binding": false}, {"draw": 684, "transition_case": "current_investment_constrained", "land_case": "central", "mature_incremental_cdr_gtco2_yr": 13.379426486207514, "cdr_maturity_year": 2050, "observed_natural_sink_gtc_yr": 5.9251243982648285, "permafrost_tau_yr": 52.42699437589116, "first_below_280_year": 2188, "peak_co2_ppm": 445.23930831430715, "peak_warming_c": 1.8318805599381225, "land_binding": false}, {"draw": 685, "transition_case": "natural_turnover", "land_case": "high_efficiency", "mature_incremental_cdr_gtco2_yr": 13.397296290059067, "cdr_maturity_year": 2047, "observed_natural_sink_gtc_yr": 6.63787412619378, "permafrost_tau_yr": 42.57762549670027, "first_below_280_year": 2285, "peak_co2_ppm": 452.4747338827174, "peak_warming_c": 1.7496558328390561, "land_binding": false}, {"draw": 686, "transition_case": "high_acceleration", "land_case": "low_efficiency", "mature_incremental_cdr_gtco2_yr": 13.021369892283495, "cdr_maturity_year": 2043, "observed_natural_sink_gtc_yr": 6.350098567241686, "permafrost_tau_yr": 65.72058213761895, "first_below_280_year": 2267, "peak_co2_ppm": 439.1614159677048, "peak_warming_c": 1.813233310833144, "land_binding": true}, {"draw": 687, "transition_case": "high_acceleration", "land_case": "high_efficiency", "mature_incremental_cdr_gtco2_yr": 14.304802650688634, "cdr_maturity_year": 2044, "observed_natural_sink_gtc_yr": 6.450980148972268, "permafrost_tau_yr": 43.00219967500716, "first_below_280_year": 2163, "peak_co2_ppm": 438.59075616904556, "peak_warming_c": 1.7916887656232885, "land_binding": false}, {"draw": 688, "transition_case": "current_investment_constrained", "land_case": "high_efficiency", "mature_incremental_cdr_gtco2_yr": 12.840798608949306, "cdr_maturity_year": 2048, "observed_natural_sink_gtc_yr": 6.375067366697936, "permafrost_tau_yr": 49.4176473479892, "first_below_280_year": 2193, "peak_co2_ppm": 444.21838328353385, "peak_warming_c": 1.8186170087928648, "land_binding": false}, {"draw": 689, "transition_case": "current_investment_constrained", "land_case": "low_efficiency", "mature_incremental_cdr_gtco2_yr": 14.066798274841037, "cdr_maturity_year": 2046, "observed_natural_sink_gtc_yr": 5.968457918901611, "permafrost_tau_yr": 32.76976720091153, "first_below_280_year": 2264, "peak_co2_ppm": 445.1343733133094, "peak_warming_c": 1.838079641043994, "land_binding": true}, {"draw": 690, "transition_case": "iea_nze_reference", "land_case": "high_efficiency", "mature_incremental_cdr_gtco2_yr": 13.918454077202451, "cdr_maturity_year": 2043, "observed_natural_sink_gtc_yr": 6.373570241438837, "permafrost_tau_yr": 55.27359188147936, "first_below_280_year": 2168, "peak_co2_ppm": 439.6343582301958, "peak_warming_c": 1.7882325362710376, "land_binding": false}, {"draw": 691, "transition_case": "iea_nze_reference", "land_case": "central", "mature_incremental_cdr_gtco2_yr": 14.547952696343247, "cdr_maturity_year": 2051, "observed_natural_sink_gtc_yr": 6.524418812999591, "permafrost_tau_yr": 42.06872820943011, "first_below_280_year": 2166, "peak_co2_ppm": 440.1395954851288, "peak_warming_c": 1.8097545438317135, "land_binding": false}, {"draw": 692, "transition_case": "current_investment_constrained", "land_case": "central", "mature_incremental_cdr_gtco2_yr": 13.825951543441729, "cdr_maturity_year": 2043, "observed_natural_sink_gtc_yr": 6.302585018468254, "permafrost_tau_yr": 63.99793598974131, "first_below_280_year": 2176, "peak_co2_ppm": 443.1942872852027, "peak_warming_c": 1.8025661694659696, "land_binding": false}, {"draw": 693, "transition_case": "iea_nze_reference", "land_case": "high_efficiency", "mature_incremental_cdr_gtco2_yr": 13.642852692537113, "cdr_maturity_year": 2045, "observed_natural_sink_gtc_yr": 6.775688381158245, "permafrost_tau_yr": 48.44163926034646, "first_below_280_year": 2171, "peak_co2_ppm": 439.2601806174562, "peak_warming_c": 1.7911678160766011, "land_binding": false}, {"draw": 694, "transition_case": "natural_turnover", "land_case": "high_efficiency", "mature_incremental_cdr_gtco2_yr": 15.269275808721993, "cdr_maturity_year": 2052, "observed_natural_sink_gtc_yr": 6.885588269182222, "permafrost_tau_yr": 54.75006764061279, "first_below_280_year": 2252, "peak_co2_ppm": 452.8153737393622, "peak_warming_c": 1.7392461478783818, "land_binding": false}, {"draw": 695, "transition_case": "iea_nze_reference", "land_case": "low_efficiency", "mature_incremental_cdr_gtco2_yr": 12.380601880515822, "cdr_maturity_year": 2052, "observed_natural_sink_gtc_yr": 5.4865392467888725, "permafrost_tau_yr": 50.87272300716353, "first_below_280_year": 2296, "peak_co2_ppm": 442.4536672040436, "peak_warming_c": 1.840665872428358, "land_binding": true}, {"draw": 696, "transition_case": "delayed_finance", "land_case": "low_efficiency", "mature_incremental_cdr_gtco2_yr": 15.169497241538748, "cdr_maturity_year": 2044, "observed_natural_sink_gtc_yr": 6.7596852316395, "permafrost_tau_yr": 59.29986983741946, "first_below_280_year": 2255, "peak_co2_ppm": 452.0634185129269, "peak_warming_c": 1.8688115078913454, "land_binding": true}, {"draw": 697, "transition_case": "high_acceleration", "land_case": "high_efficiency", "mature_incremental_cdr_gtco2_yr": 13.633174606470874, "cdr_maturity_year": 2047, "observed_natural_sink_gtc_yr": 5.967915831438858, "permafrost_tau_yr": 50.06842722792196, "first_below_280_year": 2172, "peak_co2_ppm": 439.72959082254835, "peak_warming_c": 1.8069597892149054, "land_binding": false}, {"draw": 698, "transition_case": "current_investment_constrained", "land_case": "central", "mature_incremental_cdr_gtco2_yr": 12.621543681906672, "cdr_maturity_year": 2049, "observed_natural_sink_gtc_yr": 6.95220178754933, "permafrost_tau_yr": 49.54385439619138, "first_below_280_year": 2196, "peak_co2_ppm": 443.3178207357606, "peak_warming_c": 1.82019364042364, "land_binding": false}, {"draw": 699, "transition_case": "natural_turnover", "land_case": "central", "mature_incremental_cdr_gtco2_yr": 11.548214226866635, "cdr_maturity_year": 2046, "observed_natural_sink_gtc_yr": 6.2232965624543635, "permafrost_tau_yr": 36.11846833669139, "first_below_280_year": 2335, "peak_co2_ppm": 454.55322051274226, "peak_warming_c": 1.7953850227885944, "land_binding": false}, {"draw": 700, "transition_case": "current_investment_constrained", "land_case": "central", "mature_incremental_cdr_gtco2_yr": 13.753903595446143, "cdr_maturity_year": 2045, "observed_natural_sink_gtc_yr": 6.204250506726162, "permafrost_tau_yr": 41.38684364285332, "first_below_280_year": 2181, "peak_co2_ppm": 443.8735085859765, "peak_warming_c": 1.8123540706979993, "land_binding": false}]</x:v>
      </x:c>
    </x:row>
  </x:sheetData>
  <x:mergeCells>
    <x:mergeCell ref="D1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6" t="str">
        <x:v>scenario_key</x:v>
      </x:c>
      <x:c r="B1" s="26" t="str">
        <x:v>scenario_label</x:v>
      </x:c>
      <x:c r="C1" s="26" t="str">
        <x:v>gdp_case</x:v>
      </x:c>
      <x:c r="D1" s="26" t="str">
        <x:v>nonco2_case</x:v>
      </x:c>
      <x:c r="E1" s="26" t="str">
        <x:v>permafrost_tau_yr</x:v>
      </x:c>
      <x:c r="F1" s="26" t="str">
        <x:v>peak_co2_ppm</x:v>
      </x:c>
      <x:c r="G1" s="26" t="str">
        <x:v>peak_co2_year</x:v>
      </x:c>
      <x:c r="H1" s="26" t="str">
        <x:v>target_band_entry_year</x:v>
      </x:c>
      <x:c r="I1" s="26" t="str">
        <x:v>first_below_280_year</x:v>
      </x:c>
      <x:c r="J1" s="26" t="str">
        <x:v>cumulative_cdr_to_target_gtco2</x:v>
      </x:c>
      <x:c r="K1" s="26" t="str">
        <x:v>cumulative_reversal_to_target_gtco2</x:v>
      </x:c>
      <x:c r="L1" s="26" t="str">
        <x:v>cumulative_permafrost_to_target_gtco2</x:v>
      </x:c>
      <x:c r="M1" s="26" t="str">
        <x:v>peak_warming_c</x:v>
      </x:c>
      <x:c r="N1" s="26" t="str">
        <x:v>peak_warming_year</x:v>
      </x:c>
      <x:c r="O1" s="26" t="str">
        <x:v>warming_at_280_c</x:v>
      </x:c>
      <x:c r="P1" s="26" t="str">
        <x:v>surface_ocean_ph_first_state</x:v>
      </x:c>
      <x:c r="Q1" s="26" t="str">
        <x:v>surface_ocean_ph_at_or_below_280</x:v>
      </x:c>
      <x:c r="R1" s="26" t="str">
        <x:v>restoration_warming_2100_c</x:v>
      </x:c>
      <x:c r="S1" s="26" t="str">
        <x:v>no_action_warming_2100_c</x:v>
      </x:c>
      <x:c r="T1" s="26" t="str">
        <x:v>cumulative_avoided_damage_central_usd_tn</x:v>
      </x:c>
      <x:c r="U1" s="26" t="str">
        <x:v>net_benefit_through_2100_usd_tn</x:v>
      </x:c>
      <x:c r="V1" s="26" t="str">
        <x:v>pv_net_benefit_through_2100_usd_tn</x:v>
      </x:c>
      <x:c r="W1" s="26" t="str">
        <x:v>sustained_break_even_year</x:v>
      </x:c>
      <x:c r="X1" s="26" t="str">
        <x:v>net_benefit_at_280_usd_tn</x:v>
      </x:c>
      <x:c r="Y1" s="26" t="str">
        <x:v>pv_net_benefit_at_280_usd_tn</x:v>
      </x:c>
      <x:c r="Z1" s="26" t="str">
        <x:v>full_horizon_net_benefit_usd_tn</x:v>
      </x:c>
      <x:c r="AA1" s="26" t="str">
        <x:v>full_horizon_pv_net_benefit_usd_tn</x:v>
      </x:c>
      <x:c r="AB1" s="26" t="str">
        <x:v>public_transition_share_failure_threshold</x:v>
      </x:c>
      <x:c r="AC1" s="26" t="str">
        <x:v>public_share_sweep_first_failure</x:v>
      </x:c>
      <x:c r="AD1" s="26" t="str">
        <x:v>peak_bridge_debt_usd_tn</x:v>
      </x:c>
      <x:c r="AE1" s="26" t="str">
        <x:v>peak_bridge_debt_year</x:v>
      </x:c>
      <x:c r="AF1" s="26" t="str">
        <x:v>total_bridge_interest_usd_tn</x:v>
      </x:c>
      <x:c r="AG1" s="26" t="str">
        <x:v>ending_bridge_debt_usd_tn</x:v>
      </x:c>
      <x:c r="AH1" s="26" t="str">
        <x:v>social_dividend_first_year_gross_headroom_usd_tn</x:v>
      </x:c>
      <x:c r="AI1" s="26" t="str">
        <x:v>social_dividend_reserve_fully_funded_year</x:v>
      </x:c>
      <x:c r="AJ1" s="26" t="str">
        <x:v>social_dividend_sustainable_average_usd_tn_yr</x:v>
      </x:c>
      <x:c r="AK1" s="26" t="str">
        <x:v>social_dividend_cumulative_usd_tn</x:v>
      </x:c>
      <x:c r="AL1" s="26" t="str">
        <x:v>social_dividend_pv_usd_tn</x:v>
      </x:c>
      <x:c r="AM1" s="26" t="str">
        <x:v>mature_electricity_twh_yr</x:v>
      </x:c>
      <x:c r="AN1" s="26" t="str">
        <x:v>external_pre_cdr_electricity_twh_yr</x:v>
      </x:c>
      <x:c r="AO1" s="26" t="str">
        <x:v>battery_storage_screen_twh</x:v>
      </x:c>
      <x:c r="AP1" s="26" t="str">
        <x:v>copper_mt_buildout_screen</x:v>
      </x:c>
      <x:c r="AQ1" s="26" t="str">
        <x:v>lithium_mt_buildout_screen</x:v>
      </x:c>
      <x:c r="AR1" s="26" t="str">
        <x:v>mature_workforce_fte_screen</x:v>
      </x:c>
    </x:row>
    <x:row r="2">
      <x:c r="A2" t="str">
        <x:v>accelerated</x:v>
      </x:c>
      <x:c r="B2" t="str">
        <x:v>Accelerated Planetary Restoration Design</x:v>
      </x:c>
      <x:c r="C2" t="str">
        <x:v>central</x:v>
      </x:c>
      <x:c r="D2" t="str">
        <x:v>baseline</x:v>
      </x:c>
      <x:c r="E2" t="n">
        <x:v>50</x:v>
      </x:c>
      <x:c r="F2" t="n">
        <x:v>439.5487249553553</x:v>
      </x:c>
      <x:c r="G2" t="n">
        <x:v>2032</x:v>
      </x:c>
      <x:c r="H2" t="n">
        <x:v>2154</x:v>
      </x:c>
      <x:c r="I2" t="n">
        <x:v>2155</x:v>
      </x:c>
      <x:c r="J2" t="n">
        <x:v>1835.435551448252</x:v>
      </x:c>
      <x:c r="K2" t="n">
        <x:v>59.21067926237475</x:v>
      </x:c>
      <x:c r="L2" t="n">
        <x:v>22.223165016982986</x:v>
      </x:c>
      <x:c r="M2" t="n">
        <x:v>1.7874497985673528</x:v>
      </x:c>
      <x:c r="N2" t="n">
        <x:v>2044</x:v>
      </x:c>
      <x:c r="O2" t="n">
        <x:v>0.7620251549096339</x:v>
      </x:c>
      <x:c r="P2" t="n">
        <x:v>8.048089523467938</x:v>
      </x:c>
      <x:c r="Q2" t="n">
        <x:v>8.17183523543966</x:v>
      </x:c>
      <x:c r="R2" t="n">
        <x:v>1.2028110690893772</x:v>
      </x:c>
      <x:c r="S2" t="n">
        <x:v>2.396624731269692</x:v>
      </x:c>
      <x:c r="T2" t="n">
        <x:v>4156.4252530411795</x:v>
      </x:c>
      <x:c r="U2" t="n">
        <x:v>-25.744009548747105</x:v>
      </x:c>
      <x:c r="V2" t="n">
        <x:v>-97.09975992765507</x:v>
      </x:c>
      <x:c r="W2" t="n">
        <x:v>2103</x:v>
      </x:c>
      <x:c r="X2" t="n">
        <x:v>1569.816177936358</x:v>
      </x:c>
      <x:c r="Y2" t="n">
        <x:v>98.21943730546094</x:v>
      </x:c>
      <x:c r="Z2" t="n">
        <x:v>3602.9179189161146</x:v>
      </x:c>
      <x:c r="AA2" t="n">
        <x:v>215.35949329251696</x:v>
      </x:c>
      <x:c r="AB2" t="n">
        <x:v>0.08025262165971415</x:v>
      </x:c>
      <x:c r="AC2" t="str">
        <x:v>{"transition_public_share": 0.25, "breach": true, "first_breach_year": 2038, "breach_year_count": 14}</x:v>
      </x:c>
      <x:c r="AD2" t="n">
        <x:v>13.920259182900857</x:v>
      </x:c>
      <x:c r="AE2" t="n">
        <x:v>2051</x:v>
      </x:c>
      <x:c r="AF2" t="n">
        <x:v>3.625355188377395</x:v>
      </x:c>
      <x:c r="AG2" t="n">
        <x:v>0</x:v>
      </x:c>
      <x:c r="AH2" t="n">
        <x:v>21.691904944567508</x:v>
      </x:c>
      <x:c r="AI2" t="n">
        <x:v>2155</x:v>
      </x:c>
      <x:c r="AJ2" t="n">
        <x:v>25.42211074769371</x:v>
      </x:c>
      <x:c r="AK2" t="n">
        <x:v>793.3554577874174</x:v>
      </x:c>
      <x:c r="AL2" t="n">
        <x:v>46.21160099422394</x:v>
      </x:c>
      <x:c r="AM2" t="n">
        <x:v>92536.827</x:v>
      </x:c>
      <x:c r="AN2" t="n">
        <x:v>86181.327</x:v>
      </x:c>
      <x:c r="AO2" t="n">
        <x:v>16.901703561643835</x:v>
      </x:c>
      <x:c r="AP2" t="n">
        <x:v>122.53735082191781</x:v>
      </x:c>
      <x:c r="AQ2" t="n">
        <x:v>2.5352555342465752</x:v>
      </x:c>
      <x:c r="AR2" t="n">
        <x:v>3362896.9663774734</x:v>
      </x:c>
    </x:row>
    <x:row r="3">
      <x:c r="A3" t="str">
        <x:v>evidence</x:v>
      </x:c>
      <x:c r="B3" t="str">
        <x:v>Evidence-Anchored Deployment Case</x:v>
      </x:c>
      <x:c r="C3" t="str">
        <x:v>central</x:v>
      </x:c>
      <x:c r="D3" t="str">
        <x:v>baseline</x:v>
      </x:c>
      <x:c r="E3" t="n">
        <x:v>50</x:v>
      </x:c>
      <x:c r="F3" t="n">
        <x:v>441.9481307371824</x:v>
      </x:c>
      <x:c r="G3" t="n">
        <x:v>2034</x:v>
      </x:c>
      <x:c r="H3" t="n">
        <x:v>2199</x:v>
      </x:c>
      <x:c r="I3" t="n">
        <x:v>2200</x:v>
      </x:c>
      <x:c r="J3" t="n">
        <x:v>1875.962766939996</x:v>
      </x:c>
      <x:c r="K3" t="n">
        <x:v>70.5437088129163</x:v>
      </x:c>
      <x:c r="L3" t="n">
        <x:v>27.018818575470018</x:v>
      </x:c>
      <x:c r="M3" t="n">
        <x:v>1.8432191164950296</x:v>
      </x:c>
      <x:c r="N3" t="n">
        <x:v>2046</x:v>
      </x:c>
      <x:c r="O3" t="n">
        <x:v>0.8055033964973336</x:v>
      </x:c>
      <x:c r="P3" t="n">
        <x:v>8.048089523467938</x:v>
      </x:c>
      <x:c r="Q3" t="n">
        <x:v>8.171547407330449</x:v>
      </x:c>
      <x:c r="R3" t="n">
        <x:v>1.4290512298380107</x:v>
      </x:c>
      <x:c r="S3" t="n">
        <x:v>2.396624731269692</x:v>
      </x:c>
      <x:c r="T3" t="n">
        <x:v>10325.264214829685</x:v>
      </x:c>
      <x:c r="U3" t="n">
        <x:v>16.049829368041344</x:v>
      </x:c>
      <x:c r="V3" t="n">
        <x:v>-60.91449121449301</x:v>
      </x:c>
      <x:c r="W3" t="n">
        <x:v>2099</x:v>
      </x:c>
      <x:c r="X3" t="n">
        <x:v>5413.060406684752</x:v>
      </x:c>
      <x:c r="Y3" t="n">
        <x:v>314.1920518006127</x:v>
      </x:c>
      <x:c r="Z3" t="n">
        <x:v>9786.785862239756</x:v>
      </x:c>
      <x:c r="AA3" t="n">
        <x:v>418.0858115024287</x:v>
      </x:c>
      <x:c r="AB3" t="n">
        <x:v>0.610125769007542</x:v>
      </x:c>
      <x:c r="AC3"/>
      <x:c r="AD3" t="n">
        <x:v>0</x:v>
      </x:c>
      <x:c r="AE3" t="n">
        <x:v>2026</x:v>
      </x:c>
      <x:c r="AF3" t="n">
        <x:v>0</x:v>
      </x:c>
      <x:c r="AG3" t="n">
        <x:v>0</x:v>
      </x:c>
      <x:c r="AH3" t="n">
        <x:v>39.34933804655514</x:v>
      </x:c>
      <x:c r="AI3" t="n">
        <x:v>2200</x:v>
      </x:c>
      <x:c r="AJ3" t="n">
        <x:v>44.68254233084484</x:v>
      </x:c>
      <x:c r="AK3" t="n">
        <x:v>1376.6903966350583</x:v>
      </x:c>
      <x:c r="AL3" t="n">
        <x:v>33.06988457553343</x:v>
      </x:c>
      <x:c r="AM3" t="n">
        <x:v>87984.8395</x:v>
      </x:c>
      <x:c r="AN3" t="n">
        <x:v>86181.327</x:v>
      </x:c>
      <x:c r="AO3" t="n">
        <x:v>16.070290319634704</x:v>
      </x:c>
      <x:c r="AP3" t="n">
        <x:v>116.5096048173516</x:v>
      </x:c>
      <x:c r="AQ3" t="n">
        <x:v>2.4105435479452058</x:v>
      </x:c>
      <x:c r="AR3" t="n">
        <x:v>1173200.451854389</x:v>
      </x:c>
    </x:row>
    <x:row r="4">
      <x:c r="A4" t="str">
        <x:v>constraint</x:v>
      </x:c>
      <x:c r="B4" t="str">
        <x:v>Constraint-Binding Stress Case</x:v>
      </x:c>
      <x:c r="C4" t="str">
        <x:v>central</x:v>
      </x:c>
      <x:c r="D4" t="str">
        <x:v>baseline</x:v>
      </x:c>
      <x:c r="E4" t="n">
        <x:v>50</x:v>
      </x:c>
      <x:c r="F4" t="n">
        <x:v>440.16542398776835</x:v>
      </x:c>
      <x:c r="G4" t="n">
        <x:v>2033</x:v>
      </x:c>
      <x:c r="H4" t="n">
        <x:v>2229</x:v>
      </x:c>
      <x:c r="I4" t="n">
        <x:v>2231</x:v>
      </x:c>
      <x:c r="J4" t="n">
        <x:v>1941.2881764073938</x:v>
      </x:c>
      <x:c r="K4" t="n">
        <x:v>19.171450236908086</x:v>
      </x:c>
      <x:c r="L4" t="n">
        <x:v>25.26251904631108</x:v>
      </x:c>
      <x:c r="M4" t="n">
        <x:v>1.8087756640268533</x:v>
      </x:c>
      <x:c r="N4" t="n">
        <x:v>2045</x:v>
      </x:c>
      <x:c r="O4" t="n">
        <x:v>0.83120048489887</x:v>
      </x:c>
      <x:c r="P4" t="n">
        <x:v>8.048089523467938</x:v>
      </x:c>
      <x:c r="Q4" t="n">
        <x:v>8.172154481128386</x:v>
      </x:c>
      <x:c r="R4" t="n">
        <x:v>1.391475750233998</x:v>
      </x:c>
      <x:c r="S4" t="n">
        <x:v>2.4210647941572057</x:v>
      </x:c>
      <x:c r="T4" t="n">
        <x:v>18020.96541797191</x:v>
      </x:c>
      <x:c r="U4" t="n">
        <x:v>-37.822558097040165</x:v>
      </x:c>
      <x:c r="V4" t="n">
        <x:v>-99.2860388830431</x:v>
      </x:c>
      <x:c r="W4" t="n">
        <x:v>2104</x:v>
      </x:c>
      <x:c r="X4" t="n">
        <x:v>10521.963159703617</x:v>
      </x:c>
      <x:c r="Y4" t="n">
        <x:v>400.98088549186616</x:v>
      </x:c>
      <x:c r="Z4" t="n">
        <x:v>17295.806123139697</x:v>
      </x:c>
      <x:c r="AA4" t="n">
        <x:v>489.11128403464926</x:v>
      </x:c>
      <x:c r="AB4" t="n">
        <x:v>0.08703618735968714</x:v>
      </x:c>
      <x:c r="AC4" t="str">
        <x:v>{"transition_public_share": 0.25, "breach": true, "first_breach_year": 2040, "breach_year_count": 11}</x:v>
      </x:c>
      <x:c r="AD4" t="n">
        <x:v>11.449549751576985</x:v>
      </x:c>
      <x:c r="AE4" t="n">
        <x:v>2051</x:v>
      </x:c>
      <x:c r="AF4" t="n">
        <x:v>2.556320915241409</x:v>
      </x:c>
      <x:c r="AG4" t="n">
        <x:v>0</x:v>
      </x:c>
      <x:c r="AH4" t="n">
        <x:v>56.646237792898646</x:v>
      </x:c>
      <x:c r="AI4" t="n">
        <x:v>2231</x:v>
      </x:c>
      <x:c r="AJ4" t="n">
        <x:v>63.85372972847625</x:v>
      </x:c>
      <x:c r="AK4" t="n">
        <x:v>1878.7006852863803</x:v>
      </x:c>
      <x:c r="AL4" t="n">
        <x:v>24.72135600264263</x:v>
      </x:c>
      <x:c r="AM4" t="n">
        <x:v>92307.2202776282</x:v>
      </x:c>
      <x:c r="AN4" t="n">
        <x:v>86181.327</x:v>
      </x:c>
      <x:c r="AO4" t="n">
        <x:v>16.85976626075401</x:v>
      </x:c>
      <x:c r="AP4" t="n">
        <x:v>122.23330539046658</x:v>
      </x:c>
      <x:c r="AQ4" t="n">
        <x:v>2.5289649391131013</x:v>
      </x:c>
      <x:c r="AR4" t="n">
        <x:v>2492246.193600531</x:v>
      </x:c>
    </x:row>
    <x:row r="6">
      <x:c r="A6" s="235" t="str">
        <x:v>DIAGNOSTIC ONLY — the internal 2155/2200/2231-style CDR scenario dates are retained for sensitivity lineage only. They are not externally validated restoration dates in V58.</x:v>
      </x:c>
      <x:c r="B6" s="235"/>
      <x:c r="C6" s="235"/>
      <x:c r="D6" s="235"/>
      <x:c r="E6" s="235"/>
      <x:c r="F6" s="235"/>
      <x:c r="G6" s="235"/>
      <x:c r="H6" s="235"/>
    </x:row>
    <x:row r="7">
      <x:c r="A7" s="235"/>
      <x:c r="B7" s="235"/>
      <x:c r="C7" s="235"/>
      <x:c r="D7" s="235"/>
      <x:c r="E7" s="235"/>
      <x:c r="F7" s="235"/>
      <x:c r="G7" s="235"/>
      <x:c r="H7" s="235"/>
    </x:row>
    <x:row r="8">
      <x:c r="A8" s="235"/>
      <x:c r="B8" s="235"/>
      <x:c r="C8" s="235"/>
      <x:c r="D8" s="235"/>
      <x:c r="E8" s="235"/>
      <x:c r="F8" s="235"/>
      <x:c r="G8" s="235"/>
      <x:c r="H8" s="235"/>
    </x:row>
  </x:sheetData>
  <x:mergeCells>
    <x:mergeCell ref="A6:H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4" t="str">
        <x:v>case</x:v>
      </x:c>
      <x:c r="B1" s="34" t="str">
        <x:v>first_below_280_year</x:v>
      </x:c>
      <x:c r="C1" s="34" t="str">
        <x:v>return_status</x:v>
      </x:c>
      <x:c r="D1" s="34" t="str">
        <x:v>censored</x:v>
      </x:c>
      <x:c r="E1" s="34" t="str">
        <x:v>censor_horizon_year</x:v>
      </x:c>
      <x:c r="F1" s="34" t="str">
        <x:v>plot_year</x:v>
      </x:c>
      <x:c r="G1" s="34" t="str">
        <x:v>peak_co2_ppm</x:v>
      </x:c>
      <x:c r="H1" s="34" t="str">
        <x:v>peak_warming_c</x:v>
      </x:c>
      <x:c r="I1" s="34" t="str">
        <x:v>maturity_funding_scale</x:v>
      </x:c>
      <x:c r="J1" s="34" t="str">
        <x:v>maturity_funded_cdr_gtco2_yr</x:v>
      </x:c>
      <x:c r="K1" s="34" t="str">
        <x:v>funding_binding_year_count</x:v>
      </x:c>
      <x:c r="L1" s="34" t="str">
        <x:v>first_funding_binding_year</x:v>
      </x:c>
    </x:row>
    <x:row r="2">
      <x:c r="A2" t="str">
        <x:v>Central collection</x:v>
      </x:c>
      <x:c r="B2" t="n">
        <x:v>2155</x:v>
      </x:c>
      <x:c r="C2" t="str">
        <x:v>RETURNED_WITHIN_HORIZON</x:v>
      </x:c>
      <x:c r="D2" s="30" t="b">
        <x:v>0</x:v>
      </x:c>
      <x:c r="E2" t="n">
        <x:v>2400</x:v>
      </x:c>
      <x:c r="F2" t="n">
        <x:v>2155</x:v>
      </x:c>
      <x:c r="G2" t="n">
        <x:v>439.5487249553553</x:v>
      </x:c>
      <x:c r="H2" t="n">
        <x:v>1.7874497985673528</x:v>
      </x:c>
      <x:c r="I2" t="n">
        <x:v>1</x:v>
      </x:c>
      <x:c r="J2" t="n">
        <x:v>15.2</x:v>
      </x:c>
      <x:c r="K2" t="n">
        <x:v>0</x:v>
      </x:c>
      <x:c r="L2"/>
    </x:row>
    <x:row r="3">
      <x:c r="A3" t="str">
        <x:v>Lower turnover / higher leakage</x:v>
      </x:c>
      <x:c r="B3" t="n">
        <x:v>2155</x:v>
      </x:c>
      <x:c r="C3" t="str">
        <x:v>RETURNED_WITHIN_HORIZON</x:v>
      </x:c>
      <x:c r="D3" s="30" t="b">
        <x:v>0</x:v>
      </x:c>
      <x:c r="E3" t="n">
        <x:v>2400</x:v>
      </x:c>
      <x:c r="F3" t="n">
        <x:v>2155</x:v>
      </x:c>
      <x:c r="G3" t="n">
        <x:v>439.5487249553553</x:v>
      </x:c>
      <x:c r="H3" t="n">
        <x:v>1.7874497985673528</x:v>
      </x:c>
      <x:c r="I3" t="n">
        <x:v>1</x:v>
      </x:c>
      <x:c r="J3" t="n">
        <x:v>15.2</x:v>
      </x:c>
      <x:c r="K3" t="n">
        <x:v>0</x:v>
      </x:c>
      <x:c r="L3"/>
    </x:row>
    <x:row r="4">
      <x:c r="A4" t="str">
        <x:v>High turnover / low leakage</x:v>
      </x:c>
      <x:c r="B4" t="n">
        <x:v>2155</x:v>
      </x:c>
      <x:c r="C4" t="str">
        <x:v>RETURNED_WITHIN_HORIZON</x:v>
      </x:c>
      <x:c r="D4" s="30" t="b">
        <x:v>0</x:v>
      </x:c>
      <x:c r="E4" t="n">
        <x:v>2400</x:v>
      </x:c>
      <x:c r="F4" t="n">
        <x:v>2155</x:v>
      </x:c>
      <x:c r="G4" t="n">
        <x:v>439.5487249553553</x:v>
      </x:c>
      <x:c r="H4" t="n">
        <x:v>1.7874497985673528</x:v>
      </x:c>
      <x:c r="I4" t="n">
        <x:v>1</x:v>
      </x:c>
      <x:c r="J4" t="n">
        <x:v>15.2</x:v>
      </x:c>
      <x:c r="K4" t="n">
        <x:v>0</x:v>
      </x:c>
      <x:c r="L4"/>
    </x:row>
    <x:row r="5">
      <x:c r="A5" t="str">
        <x:v>Severe migration stress</x:v>
      </x:c>
      <x:c r="B5"/>
      <x:c r="C5" t="str">
        <x:v>CENSORED_NOT_RETURNED_BY_HORIZON</x:v>
      </x:c>
      <x:c r="D5" s="30" t="b">
        <x:v>1</x:v>
      </x:c>
      <x:c r="E5" t="n">
        <x:v>2400</x:v>
      </x:c>
      <x:c r="F5" t="n">
        <x:v>2400</x:v>
      </x:c>
      <x:c r="G5" t="n">
        <x:v>441.461349025093</x:v>
      </x:c>
      <x:c r="H5" t="n">
        <x:v>1.8449666202327184</x:v>
      </x:c>
      <x:c r="I5" t="n">
        <x:v>0.20107506415348117</x:v>
      </x:c>
      <x:c r="J5" t="n">
        <x:v>3.0563409751329136</x:v>
      </x:c>
      <x:c r="K5" t="n">
        <x:v>373</x:v>
      </x:c>
      <x:c r="L5" t="n">
        <x:v>2028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0" t="str">
        <x:v>case</x:v>
      </x:c>
      <x:c r="B1" s="40" t="str">
        <x:v>frontier_found</x:v>
      </x:c>
      <x:c r="C1" s="40" t="str">
        <x:v>minimum_vre_overbuild</x:v>
      </x:c>
      <x:c r="D1" s="40" t="str">
        <x:v>storage_hours</x:v>
      </x:c>
      <x:c r="E1" s="40" t="str">
        <x:v>firm_clean_energy_share</x:v>
      </x:c>
      <x:c r="F1" s="40" t="str">
        <x:v>solar_energy_share</x:v>
      </x:c>
      <x:c r="G1" s="40" t="str">
        <x:v>wind_energy_share</x:v>
      </x:c>
      <x:c r="H1" s="40" t="str">
        <x:v>required_solar_capacity_gw</x:v>
      </x:c>
      <x:c r="I1" s="40" t="str">
        <x:v>required_wind_capacity_gw</x:v>
      </x:c>
      <x:c r="J1" s="40" t="str">
        <x:v>firm_clean_capacity_gw</x:v>
      </x:c>
      <x:c r="K1" s="40" t="str">
        <x:v>storage_energy_gwh</x:v>
      </x:c>
      <x:c r="L1" s="40" t="str">
        <x:v>curtailment_twh</x:v>
      </x:c>
      <x:c r="M1" s="40" t="str">
        <x:v>unserved_energy_fraction</x:v>
      </x:c>
      <x:c r="N1" s="40" t="str">
        <x:v>potential_generation_to_demand_ratio</x:v>
      </x:c>
    </x:row>
    <x:row r="2">
      <x:c r="A2" t="str">
        <x:v>Underbuilt VRE / 12h storage</x:v>
      </x:c>
      <x:c r="B2" s="30" t="b">
        <x:v>1</x:v>
      </x:c>
      <x:c r="C2" t="n">
        <x:v>1.54217529296875</x:v>
      </x:c>
      <x:c r="D2" t="n">
        <x:v>12</x:v>
      </x:c>
      <x:c r="E2" t="n">
        <x:v>0.1</x:v>
      </x:c>
      <x:c r="F2" t="n">
        <x:v>0.5</x:v>
      </x:c>
      <x:c r="G2" t="n">
        <x:v>0.4</x:v>
      </x:c>
      <x:c r="H2" t="n">
        <x:v>31386.34433175059</x:v>
      </x:c>
      <x:c r="I2" t="n">
        <x:v>15949.746208183687</x:v>
      </x:c>
      <x:c r="J2" t="n">
        <x:v>1242.7723207091058</x:v>
      </x:c>
      <x:c r="K2" t="n">
        <x:v>126762.77671232878</x:v>
      </x:c>
      <x:c r="L2" t="n">
        <x:v>39574.13891854095</x:v>
      </x:c>
      <x:c r="M2" t="n">
        <x:v>0.00009989415264311006</x:v>
      </x:c>
      <x:c r="N2" t="n">
        <x:v>1.4879577636718746</x:v>
      </x:c>
    </x:row>
    <x:row r="3">
      <x:c r="A3" t="str">
        <x:v>Balanced / 72h storage</x:v>
      </x:c>
      <x:c r="B3" s="30" t="b">
        <x:v>1</x:v>
      </x:c>
      <x:c r="C3" t="n">
        <x:v>1.35040283203125</x:v>
      </x:c>
      <x:c r="D3" t="n">
        <x:v>72</x:v>
      </x:c>
      <x:c r="E3" t="n">
        <x:v>0.25</x:v>
      </x:c>
      <x:c r="F3" t="n">
        <x:v>0.4</x:v>
      </x:c>
      <x:c r="G3" t="n">
        <x:v>0.35</x:v>
      </x:c>
      <x:c r="H3" t="n">
        <x:v>21986.713684726543</x:v>
      </x:c>
      <x:c r="I3" t="n">
        <x:v>12220.569042587409</x:v>
      </x:c>
      <x:c r="J3" t="n">
        <x:v>3106.930801772764</x:v>
      </x:c>
      <x:c r="K3" t="n">
        <x:v>760576.6602739727</x:v>
      </x:c>
      <x:c r="L3" t="n">
        <x:v>14780.73872247928</x:v>
      </x:c>
      <x:c r="M3" t="n">
        <x:v>0.00009887990915708257</x:v>
      </x:c>
      <x:c r="N3" t="n">
        <x:v>1.2628021240234373</x:v>
      </x:c>
    </x:row>
    <x:row r="4">
      <x:c r="A4" t="str">
        <x:v>Firm-rich / 48h storage</x:v>
      </x:c>
      <x:c r="B4" s="30" t="b">
        <x:v>1</x:v>
      </x:c>
      <x:c r="C4" t="n">
        <x:v>1.53240966796875</x:v>
      </x:c>
      <x:c r="D4" t="n">
        <x:v>48</x:v>
      </x:c>
      <x:c r="E4" t="n">
        <x:v>0.45</x:v>
      </x:c>
      <x:c r="F4" t="n">
        <x:v>0.3</x:v>
      </x:c>
      <x:c r="G4" t="n">
        <x:v>0.25</x:v>
      </x:c>
      <x:c r="H4" t="n">
        <x:v>18712.556626523023</x:v>
      </x:c>
      <x:c r="I4" t="n">
        <x:v>9905.466568272544</x:v>
      </x:c>
      <x:c r="J4" t="n">
        <x:v>5592.475443190975</x:v>
      </x:c>
      <x:c r="K4" t="n">
        <x:v>507051.1068493151</x:v>
      </x:c>
      <x:c r="L4" t="n">
        <x:v>12609.440144024073</x:v>
      </x:c>
      <x:c r="M4" t="n">
        <x:v>0.00009837076714150137</x:v>
      </x:c>
      <x:c r="N4" t="n">
        <x:v>1.2928253173828121</x:v>
      </x:c>
    </x:row>
    <x:row r="5">
      <x:c r="A5" t="str">
        <x:v>VRE-heavy / 7d storage</x:v>
      </x:c>
      <x:c r="B5" s="30" t="b">
        <x:v>1</x:v>
      </x:c>
      <x:c r="C5" t="n">
        <x:v>1.22125244140625</x:v>
      </x:c>
      <x:c r="D5" t="n">
        <x:v>168</x:v>
      </x:c>
      <x:c r="E5" t="n">
        <x:v>0.1</x:v>
      </x:c>
      <x:c r="F5" t="n">
        <x:v>0.5</x:v>
      </x:c>
      <x:c r="G5" t="n">
        <x:v>0.4</x:v>
      </x:c>
      <x:c r="H5" t="n">
        <x:v>24854.9239614516</x:v>
      </x:c>
      <x:c r="I5" t="n">
        <x:v>12630.643601517688</x:v>
      </x:c>
      <x:c r="J5" t="n">
        <x:v>1242.7723207091058</x:v>
      </x:c>
      <x:c r="K5" t="n">
        <x:v>1774678.873972603</x:v>
      </x:c>
      <x:c r="L5" t="n">
        <x:v>11984.111910312751</x:v>
      </x:c>
      <x:c r="M5" t="n">
        <x:v>0.00009911395844919884</x:v>
      </x:c>
      <x:c r="N5" t="n">
        <x:v>1.199127197265625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40" t="str">
        <x:v>case</x:v>
      </x:c>
      <x:c r="B1" s="40" t="str">
        <x:v>minimum_vre_overbuild</x:v>
      </x:c>
      <x:c r="C1" s="40" t="str">
        <x:v>solar_capacity_gw</x:v>
      </x:c>
      <x:c r="D1" s="40" t="str">
        <x:v>wind_capacity_gw</x:v>
      </x:c>
      <x:c r="E1" s="40" t="str">
        <x:v>firm_clean_capacity_gw</x:v>
      </x:c>
      <x:c r="F1" s="40" t="str">
        <x:v>storage_energy_gwh</x:v>
      </x:c>
      <x:c r="G1" s="40" t="str">
        <x:v>curtailment_twh</x:v>
      </x:c>
      <x:c r="H1" s="40" t="str">
        <x:v>copper_mt_buildout</x:v>
      </x:c>
      <x:c r="I1" s="40" t="str">
        <x:v>lithium_mt_buildout</x:v>
      </x:c>
      <x:c r="J1" s="40" t="str">
        <x:v>nickel_mt_buildout</x:v>
      </x:c>
      <x:c r="K1" s="40" t="str">
        <x:v>steel_gt_buildout</x:v>
      </x:c>
      <x:c r="L1" s="40" t="str">
        <x:v>power_build_annualized_fte_over_25yr</x:v>
      </x:c>
      <x:c r="M1" s="40" t="str">
        <x:v>power_operations_fte</x:v>
      </x:c>
    </x:row>
    <x:row r="2">
      <x:c r="A2" t="str">
        <x:v>Underbuilt VRE / 12h storage</x:v>
      </x:c>
      <x:c r="B2" t="n">
        <x:v>1.54217529296875</x:v>
      </x:c>
      <x:c r="C2" t="n">
        <x:v>31386.34433175059</x:v>
      </x:c>
      <x:c r="D2" t="n">
        <x:v>15949.746208183687</x:v>
      </x:c>
      <x:c r="E2" t="n">
        <x:v>1242.7723207091058</x:v>
      </x:c>
      <x:c r="F2" t="n">
        <x:v>126762.77671232878</x:v>
      </x:c>
      <x:c r="G2" t="n">
        <x:v>39574.13891854095</x:v>
      </x:c>
      <x:c r="H2" t="n">
        <x:v>212.95703625321013</x:v>
      </x:c>
      <x:c r="I2" t="n">
        <x:v>19.014416506849315</x:v>
      </x:c>
      <x:c r="J2" t="n">
        <x:v>15.211533205479453</x:v>
      </x:c>
      <x:c r="K2" t="n">
        <x:v>3.070078311727241</x:v>
      </x:c>
      <x:c r="L2" t="n">
        <x:v>388630.9028851471</x:v>
      </x:c>
      <x:c r="M2" t="n">
        <x:v>105635.64726027398</x:v>
      </x:c>
    </x:row>
    <x:row r="3">
      <x:c r="A3" t="str">
        <x:v>Balanced / 72h storage</x:v>
      </x:c>
      <x:c r="B3" t="n">
        <x:v>1.35040283203125</x:v>
      </x:c>
      <x:c r="C3" t="n">
        <x:v>21986.713684726543</x:v>
      </x:c>
      <x:c r="D3" t="n">
        <x:v>12220.569042587409</x:v>
      </x:c>
      <x:c r="E3" t="n">
        <x:v>3106.930801772764</x:v>
      </x:c>
      <x:c r="F3" t="n">
        <x:v>760576.6602739727</x:v>
      </x:c>
      <x:c r="G3" t="n">
        <x:v>14780.73872247928</x:v>
      </x:c>
      <x:c r="H3" t="n">
        <x:v>164.17012196485615</x:v>
      </x:c>
      <x:c r="I3" t="n">
        <x:v>114.0864990410959</x:v>
      </x:c>
      <x:c r="J3" t="n">
        <x:v>91.26919923287673</x:v>
      </x:c>
      <x:c r="K3" t="n">
        <x:v>2.468765691076388</x:v>
      </x:c>
      <x:c r="L3" t="n">
        <x:v>298513.7082326938</x:v>
      </x:c>
      <x:c r="M3" t="n">
        <x:v>105635.64726027398</x:v>
      </x:c>
    </x:row>
    <x:row r="4">
      <x:c r="A4" t="str">
        <x:v>Firm-rich / 48h storage</x:v>
      </x:c>
      <x:c r="B4" t="n">
        <x:v>1.53240966796875</x:v>
      </x:c>
      <x:c r="C4" t="n">
        <x:v>18712.556626523023</x:v>
      </x:c>
      <x:c r="D4" t="n">
        <x:v>9905.466568272544</x:v>
      </x:c>
      <x:c r="E4" t="n">
        <x:v>5592.475443190975</x:v>
      </x:c>
      <x:c r="F4" t="n">
        <x:v>507051.1068493151</x:v>
      </x:c>
      <x:c r="G4" t="n">
        <x:v>12609.440144024073</x:v>
      </x:c>
      <x:c r="H4" t="n">
        <x:v>146.78417311761902</x:v>
      </x:c>
      <x:c r="I4" t="n">
        <x:v>76.05766602739726</x:v>
      </x:c>
      <x:c r="J4" t="n">
        <x:v>60.84613282191781</x:v>
      </x:c>
      <x:c r="K4" t="n">
        <x:v>2.3819645832671057</x:v>
      </x:c>
      <x:c r="L4" t="n">
        <x:v>273683.9891038923</x:v>
      </x:c>
      <x:c r="M4" t="n">
        <x:v>105635.64726027398</x:v>
      </x:c>
    </x:row>
    <x:row r="5">
      <x:c r="A5" t="str">
        <x:v>VRE-heavy / 7d storage</x:v>
      </x:c>
      <x:c r="B5" t="n">
        <x:v>1.22125244140625</x:v>
      </x:c>
      <x:c r="C5" t="n">
        <x:v>24854.9239614516</x:v>
      </x:c>
      <x:c r="D5" t="n">
        <x:v>12630.643601517688</x:v>
      </x:c>
      <x:c r="E5" t="n">
        <x:v>1242.7723207091058</x:v>
      </x:c>
      <x:c r="F5" t="n">
        <x:v>1774678.873972603</x:v>
      </x:c>
      <x:c r="G5" t="n">
        <x:v>11984.111910312751</x:v>
      </x:c>
      <x:c r="H5" t="n">
        <x:v>173.55494434535015</x:v>
      </x:c>
      <x:c r="I5" t="n">
        <x:v>266.2018310958904</x:v>
      </x:c>
      <x:c r="J5" t="n">
        <x:v>212.96146487671234</x:v>
      </x:c>
      <x:c r="K5" t="n">
        <x:v>2.479046933109341</x:v>
      </x:c>
      <x:c r="L5" t="n">
        <x:v>309826.7190694271</x:v>
      </x:c>
      <x:c r="M5" t="n">
        <x:v>105635.64726027398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6" t="str">
        <x:v>case</x:v>
      </x:c>
      <x:c r="B1" s="46" t="str">
        <x:v>stress_window_days</x:v>
      </x:c>
      <x:c r="C1" s="46" t="str">
        <x:v>timber_index_change_fraction</x:v>
      </x:c>
      <x:c r="D1" s="46" t="str">
        <x:v>reference_usd_per_unit</x:v>
      </x:c>
      <x:c r="E1" s="46" t="str">
        <x:v>total_reserve_ratio</x:v>
      </x:c>
      <x:c r="F1" s="46" t="str">
        <x:v>liquid_reserve_share</x:v>
      </x:c>
      <x:c r="G1" s="46" t="str">
        <x:v>liquid_asset_haircut_fraction</x:v>
      </x:c>
      <x:c r="H1" s="46" t="str">
        <x:v>timber_orderly_liquidation_fraction</x:v>
      </x:c>
      <x:c r="I1" s="46" t="str">
        <x:v>fire_sale_discount_fraction</x:v>
      </x:c>
      <x:c r="J1" s="46" t="str">
        <x:v>emergency_liquidity_ratio</x:v>
      </x:c>
      <x:c r="K1" s="46" t="str">
        <x:v>redemption_fraction_supply</x:v>
      </x:c>
      <x:c r="L1" s="46" t="str">
        <x:v>redemption_claim_usd_per_100_units</x:v>
      </x:c>
      <x:c r="M1" s="46" t="str">
        <x:v>paid_from_liquid_usd</x:v>
      </x:c>
      <x:c r="N1" s="46" t="str">
        <x:v>emergency_credit_draw_usd</x:v>
      </x:c>
      <x:c r="O1" s="46" t="str">
        <x:v>orderly_timber_cash_usd</x:v>
      </x:c>
      <x:c r="P1" s="46" t="str">
        <x:v>fire_sale_timber_cash_usd</x:v>
      </x:c>
      <x:c r="Q1" s="46" t="str">
        <x:v>redemption_coverage_fraction</x:v>
      </x:c>
      <x:c r="R1" s="46" t="str">
        <x:v>effective_redemption_price_usd_per_unit</x:v>
      </x:c>
      <x:c r="S1" s="46" t="str">
        <x:v>effective_price_fraction_of_reference</x:v>
      </x:c>
      <x:c r="T1" s="46" t="str">
        <x:v>post_redemption_net_reserve_ratio</x:v>
      </x:c>
      <x:c r="U1" s="46" t="str">
        <x:v>liquidity_test_pass</x:v>
      </x:c>
    </x:row>
    <x:row r="2">
      <x:c r="A2" t="str">
        <x:v>Base</x:v>
      </x:c>
      <x:c r="B2" t="n">
        <x:v>5</x:v>
      </x:c>
      <x:c r="C2" t="n">
        <x:v>0</x:v>
      </x:c>
      <x:c r="D2" t="n">
        <x:v>1</x:v>
      </x:c>
      <x:c r="E2" t="n">
        <x:v>1.1</x:v>
      </x:c>
      <x:c r="F2" t="n">
        <x:v>0.7</x:v>
      </x:c>
      <x:c r="G2" t="n">
        <x:v>0</x:v>
      </x:c>
      <x:c r="H2" t="n">
        <x:v>0.05</x:v>
      </x:c>
      <x:c r="I2" t="n">
        <x:v>0.1</x:v>
      </x:c>
      <x:c r="J2" t="n">
        <x:v>0</x:v>
      </x:c>
      <x:c r="K2" t="n">
        <x:v>0.1</x:v>
      </x:c>
      <x:c r="L2" t="n">
        <x:v>10</x:v>
      </x:c>
      <x:c r="M2" t="n">
        <x:v>10</x:v>
      </x:c>
      <x:c r="N2" t="n">
        <x:v>0</x:v>
      </x:c>
      <x:c r="O2" t="n">
        <x:v>0</x:v>
      </x:c>
      <x:c r="P2" t="n">
        <x:v>0</x:v>
      </x:c>
      <x:c r="Q2" t="n">
        <x:v>1</x:v>
      </x:c>
      <x:c r="R2" t="n">
        <x:v>1</x:v>
      </x:c>
      <x:c r="S2" t="n">
        <x:v>1</x:v>
      </x:c>
      <x:c r="T2" t="n">
        <x:v>1.1111111111111112</x:v>
      </x:c>
      <x:c r="U2" s="30" t="b">
        <x:v>1</x:v>
      </x:c>
    </x:row>
    <x:row r="3">
      <x:c r="A3" t="str">
        <x:v>Timber +30%, moderate redemption</x:v>
      </x:c>
      <x:c r="B3" t="n">
        <x:v>5</x:v>
      </x:c>
      <x:c r="C3" t="n">
        <x:v>0.3</x:v>
      </x:c>
      <x:c r="D3" t="n">
        <x:v>1.3</x:v>
      </x:c>
      <x:c r="E3" t="n">
        <x:v>1.1</x:v>
      </x:c>
      <x:c r="F3" t="n">
        <x:v>0.65</x:v>
      </x:c>
      <x:c r="G3" t="n">
        <x:v>0.03</x:v>
      </x:c>
      <x:c r="H3" t="n">
        <x:v>0.05</x:v>
      </x:c>
      <x:c r="I3" t="n">
        <x:v>0.2</x:v>
      </x:c>
      <x:c r="J3" t="n">
        <x:v>0.05</x:v>
      </x:c>
      <x:c r="K3" t="n">
        <x:v>0.25</x:v>
      </x:c>
      <x:c r="L3" t="n">
        <x:v>32.5</x:v>
      </x:c>
      <x:c r="M3" t="n">
        <x:v>32.5</x:v>
      </x:c>
      <x:c r="N3" t="n">
        <x:v>0</x:v>
      </x:c>
      <x:c r="O3" t="n">
        <x:v>0</x:v>
      </x:c>
      <x:c r="P3" t="n">
        <x:v>0</x:v>
      </x:c>
      <x:c r="Q3" t="n">
        <x:v>1</x:v>
      </x:c>
      <x:c r="R3" t="n">
        <x:v>1.3</x:v>
      </x:c>
      <x:c r="S3" t="n">
        <x:v>1</x:v>
      </x:c>
      <x:c r="T3" t="n">
        <x:v>1.1047333333333333</x:v>
      </x:c>
      <x:c r="U3" s="30" t="b">
        <x:v>1</x:v>
      </x:c>
    </x:row>
    <x:row r="4">
      <x:c r="A4" t="str">
        <x:v>Timber -30%, moderate redemption</x:v>
      </x:c>
      <x:c r="B4" t="n">
        <x:v>5</x:v>
      </x:c>
      <x:c r="C4" t="n">
        <x:v>-0.3</x:v>
      </x:c>
      <x:c r="D4" t="n">
        <x:v>0.7</x:v>
      </x:c>
      <x:c r="E4" t="n">
        <x:v>1.1</x:v>
      </x:c>
      <x:c r="F4" t="n">
        <x:v>0.65</x:v>
      </x:c>
      <x:c r="G4" t="n">
        <x:v>0.05</x:v>
      </x:c>
      <x:c r="H4" t="n">
        <x:v>0.05</x:v>
      </x:c>
      <x:c r="I4" t="n">
        <x:v>0.2</x:v>
      </x:c>
      <x:c r="J4" t="n">
        <x:v>0.05</x:v>
      </x:c>
      <x:c r="K4" t="n">
        <x:v>0.25</x:v>
      </x:c>
      <x:c r="L4" t="n">
        <x:v>17.5</x:v>
      </x:c>
      <x:c r="M4" t="n">
        <x:v>17.5</x:v>
      </x:c>
      <x:c r="N4" t="n">
        <x:v>0</x:v>
      </x:c>
      <x:c r="O4" t="n">
        <x:v>0</x:v>
      </x:c>
      <x:c r="P4" t="n">
        <x:v>0</x:v>
      </x:c>
      <x:c r="Q4" t="n">
        <x:v>1</x:v>
      </x:c>
      <x:c r="R4" t="n">
        <x:v>0.7</x:v>
      </x:c>
      <x:c r="S4" t="n">
        <x:v>1</x:v>
      </x:c>
      <x:c r="T4" t="n">
        <x:v>1.0856666666666666</x:v>
      </x:c>
      <x:c r="U4" s="30" t="b">
        <x:v>1</x:v>
      </x:c>
    </x:row>
    <x:row r="5">
      <x:c r="A5" t="str">
        <x:v>Liquidity shock</x:v>
      </x:c>
      <x:c r="B5" t="n">
        <x:v>5</x:v>
      </x:c>
      <x:c r="C5" t="n">
        <x:v>0</x:v>
      </x:c>
      <x:c r="D5" t="n">
        <x:v>1</x:v>
      </x:c>
      <x:c r="E5" t="n">
        <x:v>1</x:v>
      </x:c>
      <x:c r="F5" t="n">
        <x:v>0.45</x:v>
      </x:c>
      <x:c r="G5" t="n">
        <x:v>0.1</x:v>
      </x:c>
      <x:c r="H5" t="n">
        <x:v>0.03</x:v>
      </x:c>
      <x:c r="I5" t="n">
        <x:v>0.4</x:v>
      </x:c>
      <x:c r="J5" t="n">
        <x:v>0.1</x:v>
      </x:c>
      <x:c r="K5" t="n">
        <x:v>0.4</x:v>
      </x:c>
      <x:c r="L5" t="n">
        <x:v>40</x:v>
      </x:c>
      <x:c r="M5" t="n">
        <x:v>40</x:v>
      </x:c>
      <x:c r="N5" t="n">
        <x:v>0</x:v>
      </x:c>
      <x:c r="O5" t="n">
        <x:v>0</x:v>
      </x:c>
      <x:c r="P5" t="n">
        <x:v>0</x:v>
      </x:c>
      <x:c r="Q5" t="n">
        <x:v>1</x:v>
      </x:c>
      <x:c r="R5" t="n">
        <x:v>1</x:v>
      </x:c>
      <x:c r="S5" t="n">
        <x:v>1</x:v>
      </x:c>
      <x:c r="T5" t="n">
        <x:v>0.925</x:v>
      </x:c>
      <x:c r="U5" s="30" t="b">
        <x:v>0</x:v>
      </x:c>
    </x:row>
    <x:row r="6">
      <x:c r="A6" t="str">
        <x:v>Severe combined</x:v>
      </x:c>
      <x:c r="B6" t="n">
        <x:v>5</x:v>
      </x:c>
      <x:c r="C6" t="n">
        <x:v>0.3</x:v>
      </x:c>
      <x:c r="D6" t="n">
        <x:v>1.3</x:v>
      </x:c>
      <x:c r="E6" t="n">
        <x:v>0.75</x:v>
      </x:c>
      <x:c r="F6" t="n">
        <x:v>0.2</x:v>
      </x:c>
      <x:c r="G6" t="n">
        <x:v>0.15</x:v>
      </x:c>
      <x:c r="H6" t="n">
        <x:v>0.01</x:v>
      </x:c>
      <x:c r="I6" t="n">
        <x:v>0.6</x:v>
      </x:c>
      <x:c r="J6" t="n">
        <x:v>0.05</x:v>
      </x:c>
      <x:c r="K6" t="n">
        <x:v>0.65</x:v>
      </x:c>
      <x:c r="L6" t="n">
        <x:v>84.5</x:v>
      </x:c>
      <x:c r="M6" t="n">
        <x:v>16.575</x:v>
      </x:c>
      <x:c r="N6" t="n">
        <x:v>6.5</x:v>
      </x:c>
      <x:c r="O6" t="n">
        <x:v>0.78</x:v>
      </x:c>
      <x:c r="P6" t="n">
        <x:v>30.888</x:v>
      </x:c>
      <x:c r="Q6" t="n">
        <x:v>0.6478461538461538</x:v>
      </x:c>
      <x:c r="R6" t="n">
        <x:v>0.8422000000000001</x:v>
      </x:c>
      <x:c r="S6" t="n">
        <x:v>0.6478461538461538</x:v>
      </x:c>
      <x:c r="T6" t="n">
        <x:v>0</x:v>
      </x:c>
      <x:c r="U6" s="30" t="b">
        <x:v>0</x:v>
      </x:c>
    </x:row>
    <x:row r="7">
      <x:c r="A7" t="str">
        <x:v>Thirty-day run</x:v>
      </x:c>
      <x:c r="B7" t="n">
        <x:v>30</x:v>
      </x:c>
      <x:c r="C7" t="n">
        <x:v>-0.2</x:v>
      </x:c>
      <x:c r="D7" t="n">
        <x:v>0.8</x:v>
      </x:c>
      <x:c r="E7" t="n">
        <x:v>1</x:v>
      </x:c>
      <x:c r="F7" t="n">
        <x:v>0.45</x:v>
      </x:c>
      <x:c r="G7" t="n">
        <x:v>0.08</x:v>
      </x:c>
      <x:c r="H7" t="n">
        <x:v>0.15</x:v>
      </x:c>
      <x:c r="I7" t="n">
        <x:v>0.35</x:v>
      </x:c>
      <x:c r="J7" t="n">
        <x:v>0.1</x:v>
      </x:c>
      <x:c r="K7" t="n">
        <x:v>0.6</x:v>
      </x:c>
      <x:c r="L7" t="n">
        <x:v>48</x:v>
      </x:c>
      <x:c r="M7" t="n">
        <x:v>33.120000000000005</x:v>
      </x:c>
      <x:c r="N7" t="n">
        <x:v>8</x:v>
      </x:c>
      <x:c r="O7" t="n">
        <x:v>6.6</x:v>
      </x:c>
      <x:c r="P7" t="n">
        <x:v>0.2799999999999958</x:v>
      </x:c>
      <x:c r="Q7" t="n">
        <x:v>1</x:v>
      </x:c>
      <x:c r="R7" t="n">
        <x:v>0.8</x:v>
      </x:c>
      <x:c r="S7" t="n">
        <x:v>1</x:v>
      </x:c>
      <x:c r="T7" t="n">
        <x:v>0.9052884615384618</x:v>
      </x:c>
      <x:c r="U7" s="30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2" t="str">
        <x:v>component</x:v>
      </x:c>
      <x:c r="B1" s="52" t="str">
        <x:v>twh_yr</x:v>
      </x:c>
      <x:c r="C1" s="52" t="str">
        <x:v>status</x:v>
      </x:c>
    </x:row>
    <x:row r="2">
      <x:c r="A2" t="str">
        <x:v>Externally supplied pre-CDR transformed electricity screen</x:v>
      </x:c>
      <x:c r="B2" t="n">
        <x:v>86181.327</x:v>
      </x:c>
      <x:c r="C2" t="str">
        <x:v>EXTERNAL_SCREEN_UNDECOMPOSED_BY_SECTOR</x:v>
      </x:c>
    </x:row>
    <x:row r="3">
      <x:c r="A3" t="str">
        <x:v>Endogenous mature CDR direct electricity</x:v>
      </x:c>
      <x:c r="B3" t="n">
        <x:v>6355.5</x:v>
      </x:c>
      <x:c r="C3" t="str">
        <x:v>MODEL_DERIVED_FROM_CDR_PORTFOLIO</x:v>
      </x:c>
    </x:row>
    <x:row r="4">
      <x:c r="A4" t="str">
        <x:v>Mature electricity total used for adequacy stress</x:v>
      </x:c>
      <x:c r="B4" t="n">
        <x:v>92536.827</x:v>
      </x:c>
      <x:c r="C4" t="str">
        <x:v>SUM_OF_EXTERNAL_PLUS_MODEL_DERIVED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34" hidden="0" customWidth="1"/>
    <x:col min="4" max="4" width="66" hidden="0" customWidth="1"/>
    <x:col min="5" max="5" width="18" hidden="0" customWidth="1"/>
    <x:col min="6" max="6" width="36" hidden="0" customWidth="1"/>
    <x:col min="7" max="7" width="22" hidden="0" customWidth="1"/>
    <x:col min="8" max="8" width="58" hidden="0" customWidth="1"/>
  </x:cols>
  <x:sheetData>
    <x:row r="1">
      <x:c r="A1" s="189" t="str">
        <x:v>V57 external validation and attribution status</x:v>
      </x:c>
      <x:c r="B1" s="189"/>
      <x:c r="C1" s="190"/>
      <x:c r="D1" s="190"/>
      <x:c r="E1" s="190"/>
      <x:c r="F1" s="190"/>
      <x:c r="G1" s="190"/>
      <x:c r="H1" s="190"/>
    </x:row>
    <x:row r="2">
      <x:c r="A2"/>
      <x:c r="B2"/>
    </x:row>
    <x:row r="3">
      <x:c r="A3" s="203" t="str">
        <x:v>The archived external result is the primary scientific evidence. FaIR 2.2.4 / fair-calibrate 1.4.1 has 0/841 members at or below 280 ppm by 2400. Hector 3.5.0 also never reaches 280 through 2300. The old Joos return year is not a validated climate forecast.</x:v>
      </x:c>
      <x:c r="B3" s="203"/>
      <x:c r="C3" s="203"/>
      <x:c r="D3" s="203"/>
      <x:c r="E3" s="203"/>
      <x:c r="F3" s="203"/>
      <x:c r="G3" s="203"/>
      <x:c r="H3" s="203"/>
    </x:row>
    <x:row r="4">
      <x:c r="A4"/>
      <x:c r="B4"/>
    </x:row>
    <x:row r="5">
      <x:c r="A5" s="201" t="str">
        <x:v>Model</x:v>
      </x:c>
      <x:c r="B5" s="201" t="str">
        <x:v>Version/configs</x:v>
      </x:c>
      <x:c r="C5" s="201" t="str">
        <x:v>≤280 return</x:v>
      </x:c>
      <x:c r="D5" s="201" t="str">
        <x:v>Horizon</x:v>
      </x:c>
      <x:c r="E5" s="201" t="str">
        <x:v>CO₂ near internal 2155 milestone</x:v>
      </x:c>
      <x:c r="F5" s="201" t="str">
        <x:v>Horizon/minimum CO₂</x:v>
      </x:c>
      <x:c r="G5" s="201" t="str">
        <x:v>Role</x:v>
      </x:c>
      <x:c r="H5" s="201" t="str">
        <x:v>Status</x:v>
      </x:c>
    </x:row>
    <x:row r="6">
      <x:c r="A6" s="6" t="str">
        <x:v>FaIR</x:v>
      </x:c>
      <x:c r="B6" s="6" t="str">
        <x:v>2.2.4; 841 calibrated/constrained</x:v>
      </x:c>
      <x:c r="C6" s="183" t="str">
        <x:v>0/841</x:v>
      </x:c>
      <x:c r="D6" s="183" t="n">
        <x:v>2400</x:v>
      </x:c>
      <x:c r="E6" s="183" t="n">
        <x:v>312.55</x:v>
      </x:c>
      <x:c r="F6" s="183" t="n">
        <x:v>294.23</x:v>
      </x:c>
      <x:c r="G6" s="183" t="str">
        <x:v>Primary archived external evidence</x:v>
      </x:c>
      <x:c r="H6" s="6" t="str">
        <x:v>NO RETURN</x:v>
      </x:c>
    </x:row>
    <x:row r="7">
      <x:c r="A7" s="6" t="str">
        <x:v>Hector</x:v>
      </x:c>
      <x:c r="B7" s="6" t="str">
        <x:v>3.5.0; independent run</x:v>
      </x:c>
      <x:c r="C7" s="183" t="str">
        <x:v>0/1</x:v>
      </x:c>
      <x:c r="D7" s="183" t="n">
        <x:v>2300</x:v>
      </x:c>
      <x:c r="E7" s="183" t="n">
        <x:v>295.99</x:v>
      </x:c>
      <x:c r="F7" s="183" t="n">
        <x:v>295.96</x:v>
      </x:c>
      <x:c r="G7" s="183" t="str">
        <x:v>Independent comparator; NOT OSCAR</x:v>
      </x:c>
      <x:c r="H7" s="6" t="str">
        <x:v>NO RETURN</x:v>
      </x:c>
    </x:row>
    <x:row r="9">
      <x:c r="A9" s="171"/>
      <x:c r="B9" s="171"/>
      <x:c r="C9" s="171"/>
      <x:c r="D9" s="171"/>
    </x:row>
    <x:row r="10">
      <x:c r="A10" s="201" t="str">
        <x:v>Time-index / initial-state attribution</x:v>
      </x:c>
      <x:c r="B10" s="209" t="str">
        <x:v>Value</x:v>
      </x:c>
      <x:c r="C10" s="209" t="str">
        <x:v>Unit/status</x:v>
      </x:c>
      <x:c r="D10" s="209" t="str">
        <x:v>Interpretation</x:v>
      </x:c>
      <x:c r="F10" s="201" t="str">
        <x:v>Open experiment</x:v>
      </x:c>
      <x:c r="G10" s="201" t="str">
        <x:v>Status</x:v>
      </x:c>
      <x:c r="H10" s="201" t="str">
        <x:v>Purpose</x:v>
      </x:c>
    </x:row>
    <x:row r="11">
      <x:c r="A11" t="str">
        <x:v>Observed anchor</x:v>
      </x:c>
      <x:c r="B11" t="n">
        <x:v>428.73</x:v>
      </x:c>
      <x:c r="C11" t="str">
        <x:v>ppm, NOAA May 2026</x:v>
      </x:c>
      <x:c r="D11" t="str">
        <x:v>Internal model initializes here before applying 2026 flux.</x:v>
      </x:c>
      <x:c r="F11" t="str">
        <x:v>Zero-background non-CO₂ FaIR restart</x:v>
      </x:c>
      <x:c r="G11" t="str">
        <x:v>OPEN</x:v>
      </x:c>
      <x:c r="H11" t="str">
        <x:v>Separate drawdown-driven sink behavior from sink weakening mediated by future non-CO₂ warming.</x:v>
      </x:c>
    </x:row>
    <x:row r="12">
      <x:c r="A12" t="str">
        <x:v>Internal row 2026</x:v>
      </x:c>
      <x:c r="B12" t="n">
        <x:v>431.184</x:v>
      </x:c>
      <x:c r="C12" t="str">
        <x:v>ppm</x:v>
      </x:c>
      <x:c r="D12" t="str">
        <x:v>Post-2026 annual flux.</x:v>
      </x:c>
      <x:c r="F12" t="str">
        <x:v>Inverse FaIR removal schedule</x:v>
      </x:c>
      <x:c r="G12" t="str">
        <x:v>OPEN</x:v>
      </x:c>
      <x:c r="H12" t="str">
        <x:v>Solve for additional removal needed for chosen target year/ensemble statistic rather than extrapolating Joos.</x:v>
      </x:c>
    </x:row>
    <x:row r="13">
      <x:c r="A13" s="171" t="str">
        <x:v>FaIR timebound 2026</x:v>
      </x:c>
      <x:c r="B13" s="171" t="n">
        <x:v>424.954</x:v>
      </x:c>
      <x:c r="C13" s="171" t="str">
        <x:v>ppm</x:v>
      </x:c>
      <x:c r="D13" s="171" t="str">
        <x:v>Pre-2026 override flux.</x:v>
      </x:c>
      <x:c r="F13" t="str">
        <x:v>OSCAR</x:v>
      </x:c>
      <x:c r="G13" t="str">
        <x:v>OPEN</x:v>
      </x:c>
      <x:c r="H13" t="str">
        <x:v>Original V53.1 gate; Hector is not silently substituted.</x:v>
      </x:c>
    </x:row>
    <x:row r="14">
      <x:c r="A14" t="str">
        <x:v>FaIR timebound 2027</x:v>
      </x:c>
      <x:c r="B14" s="181" t="n">
        <x:v>427.29</x:v>
      </x:c>
      <x:c r="C14" t="str">
        <x:v>ppm</x:v>
      </x:c>
      <x:c r="D14" t="str">
        <x:v>Post-2026 override flux; correct same-step comparison.</x:v>
      </x:c>
      <x:c r="F14" t="str">
        <x:v>Submission</x:v>
      </x:c>
      <x:c r="G14" t="str">
        <x:v>NOT READY</x:v>
      </x:c>
      <x:c r="H14" t="str">
        <x:v>These gates remain scientific work, not housekeeping.</x:v>
      </x:c>
    </x:row>
    <x:row r="15">
      <x:c r="A15" t="str">
        <x:v>Correct historical p50 offset vs NOAA</x:v>
      </x:c>
      <x:c r="B15" s="181" t="n">
        <x:v>3.776</x:v>
      </x:c>
      <x:c r="C15" t="str">
        <x:v>ppm</x:v>
      </x:c>
      <x:c r="D15" t="str">
        <x:v>Not the earlier 6.23 ppm mixed-time comparison.</x:v>
      </x:c>
    </x:row>
    <x:row r="16">
      <x:c r="A16" t="str">
        <x:v>Raw matched-step gap at internal 2155</x:v>
      </x:c>
      <x:c r="B16" s="181" t="n">
        <x:v>32.15</x:v>
      </x:c>
      <x:c r="C16" t="str">
        <x:v>ppm</x:v>
      </x:c>
      <x:c r="D16" t="str">
        <x:v>FaIR timebound 2156 minus internal post-2155 state.</x:v>
      </x:c>
    </x:row>
    <x:row r="17">
      <x:c r="A17" t="str">
        <x:v>Response-only gap at internal 2155</x:v>
      </x:c>
      <x:c r="B17" t="n">
        <x:v>35.92</x:v>
      </x:c>
      <x:c r="C17" t="str">
        <x:v>ppm</x:v>
      </x:c>
      <x:c r="D17" t="str">
        <x:v>Starting bias removed; divergence becomes larger, not smaller.</x:v>
      </x:c>
    </x:row>
    <x:row r="20">
      <x:c r="A20" s="201" t="str">
        <x:v>Canonical endpoint / extension attribution</x:v>
      </x:c>
      <x:c r="B20" s="201" t="str">
        <x:v>Value</x:v>
      </x:c>
      <x:c r="C20" s="201" t="str">
        <x:v>Unit/status</x:v>
      </x:c>
      <x:c r="D20" s="201" t="str">
        <x:v>Interpretation</x:v>
      </x:c>
    </x:row>
    <x:row r="21">
      <x:c r="A21" t="str">
        <x:v>Last canonical input year</x:v>
      </x:c>
      <x:c r="B21" t="n">
        <x:v>2183</x:v>
      </x:c>
      <x:c r="C21" t="str">
        <x:v>year</x:v>
      </x:c>
      <x:c r="D21" t="str">
        <x:v>Input 2183 changes FaIR timebound 2183→2184.</x:v>
      </x:c>
    </x:row>
    <x:row r="22">
      <x:c r="A22" t="str">
        <x:v>FaIR p50 after final canonical flux</x:v>
      </x:c>
      <x:c r="B22" t="n">
        <x:v>311.4</x:v>
      </x:c>
      <x:c r="C22" t="str">
        <x:v>ppm</x:v>
      </x:c>
      <x:c r="D22" t="str">
        <x:v>Would be the endpoint of a run terminated after the canonical input.</x:v>
      </x:c>
    </x:row>
    <x:row r="23">
      <x:c r="A23" t="str">
        <x:v>Post-2183 extension</x:v>
      </x:c>
      <x:c r="B23" t="str">
        <x:v>NOT CAUSAL FOR CANONICAL MISS</x:v>
      </x:c>
      <x:c r="C23" t="str">
        <x:v>status</x:v>
      </x:c>
      <x:c r="D23" t="str">
        <x:v>Extension matters to 2300/2400 tail but cannot change prior states.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64" t="str">
        <x:v>year</x:v>
      </x:c>
      <x:c r="B1" s="64" t="str">
        <x:v>co2_ppm</x:v>
      </x:c>
      <x:c r="C1" s="64" t="str">
        <x:v>net_anthropogenic_gtco2</x:v>
      </x:c>
      <x:c r="D1" s="64" t="str">
        <x:v>natural_reservoir_flux_to_sinks_gtc</x:v>
      </x:c>
      <x:c r="E1" s="64" t="str">
        <x:v>reservoir_permanent_gtc</x:v>
      </x:c>
      <x:c r="F1" s="64" t="str">
        <x:v>reservoir_slow_gtc</x:v>
      </x:c>
      <x:c r="G1" s="64" t="str">
        <x:v>reservoir_medium_gtc</x:v>
      </x:c>
      <x:c r="H1" s="64" t="str">
        <x:v>reservoir_fast_gtc</x:v>
      </x:c>
    </x:row>
    <x:row r="2">
      <x:c r="A2" t="n">
        <x:v>2026</x:v>
      </x:c>
      <x:c r="B2" t="n">
        <x:v>431.1838326549736</x:v>
      </x:c>
      <x:c r="C2" t="n">
        <x:v>42.2</x:v>
      </x:c>
      <x:c r="D2" t="n">
        <x:v>5.911485937738476</x:v>
      </x:c>
      <x:c r="E2" t="n">
        <x:v>104.28801579481066</x:v>
      </x:c>
      <x:c r="F2" t="n">
        <x:v>104.7256082727882</x:v>
      </x:c>
      <x:c r="G2" t="n">
        <x:v>102.25954477285626</x:v>
      </x:c>
      <x:c r="H2" t="n">
        <x:v>13.936107886053987</x:v>
      </x:c>
    </x:row>
    <x:row r="3">
      <x:c r="A3" t="n">
        <x:v>2027</x:v>
      </x:c>
      <x:c r="B3" t="n">
        <x:v>433.421003981558</x:v>
      </x:c>
      <x:c r="C3" t="n">
        <x:v>40.46834981173945</x:v>
      </x:c>
      <x:c r="D3" t="n">
        <x:v>5.915115890333542</x:v>
      </x:c>
      <x:c r="E3" t="n">
        <x:v>106.6880628510582</x:v>
      </x:c>
      <x:c r="F3" t="n">
        <x:v>106.93132625839803</x:v>
      </x:c>
      <x:c r="G3" t="n">
        <x:v>102.5756055443837</x:v>
      </x:c>
      <x:c r="H3" t="n">
        <x:v>13.763796799007647</x:v>
      </x:c>
    </x:row>
    <x:row r="4">
      <x:c r="A4" t="n">
        <x:v>2028</x:v>
      </x:c>
      <x:c r="B4" t="n">
        <x:v>435.3891190268681</x:v>
      </x:c>
      <x:c r="C4" t="n">
        <x:v>38.218842772520254</x:v>
      </x:c>
      <x:c r="D4" t="n">
        <x:v>5.893509430189681</x:v>
      </x:c>
      <x:c r="E4" t="n">
        <x:v>108.95469891395904</x:v>
      </x:c>
      <x:c r="F4" t="n">
        <x:v>108.99410852490703</x:v>
      </x:c>
      <x:c r="G4" t="n">
        <x:v>102.71211114428726</x:v>
      </x:c>
      <x:c r="H4" t="n">
        <x:v>13.476181110887762</x:v>
      </x:c>
    </x:row>
    <x:row r="5">
      <x:c r="A5" t="n">
        <x:v>2029</x:v>
      </x:c>
      <x:c r="B5" t="n">
        <x:v>437.030853932112</x:v>
      </x:c>
      <x:c r="C5" t="n">
        <x:v>35.397054594924974</x:v>
      </x:c>
      <x:c r="D5" t="n">
        <x:v>5.842788183490429</x:v>
      </x:c>
      <x:c r="E5" t="n">
        <x:v>111.05398383848883</x:v>
      </x:c>
      <x:c r="F5" t="n">
        <x:v>110.87937473265306</x:v>
      </x:c>
      <x:c r="G5" t="n">
        <x:v>102.63040019340339</x:v>
      </x:c>
      <x:c r="H5" t="n">
        <x:v>13.058744133328522</x:v>
      </x:c>
    </x:row>
    <x:row r="6">
      <x:c r="A6" t="n">
        <x:v>2030</x:v>
      </x:c>
      <x:c r="B6" t="n">
        <x:v>438.287413535362</x:v>
      </x:c>
      <x:c r="C6" t="n">
        <x:v>31.975419075017577</x:v>
      </x:c>
      <x:c r="D6" t="n">
        <x:v>5.758811200715547</x:v>
      </x:c>
      <x:c r="E6" t="n">
        <x:v>112.9503426171464</x:v>
      </x:c>
      <x:c r="F6" t="n">
        <x:v>112.55094897429503</x:v>
      </x:c>
      <x:c r="G6" t="n">
        <x:v>102.2907592527858</x:v>
      </x:c>
      <x:c r="H6" t="n">
        <x:v>12.498128091346405</x:v>
      </x:c>
    </x:row>
    <x:row r="7">
      <x:c r="A7" t="n">
        <x:v>2031</x:v>
      </x:c>
      <x:c r="B7" t="n">
        <x:v>439.1343511005494</x:v>
      </x:c>
      <x:c r="C7" t="n">
        <x:v>28.215722525381096</x:v>
      </x:c>
      <x:c r="D7" t="n">
        <x:v>5.637645362063548</x:v>
      </x:c>
      <x:c r="E7" t="n">
        <x:v>114.62372594268278</x:v>
      </x:c>
      <x:c r="F7" t="n">
        <x:v>113.98873107689714</x:v>
      </x:c>
      <x:c r="G7" t="n">
        <x:v>101.67444976052624</x:v>
      </x:c>
      <x:c r="H7" t="n">
        <x:v>11.80132060636021</x:v>
      </x:c>
    </x:row>
    <x:row r="8">
      <x:c r="A8" t="n">
        <x:v>2032</x:v>
      </x:c>
      <x:c r="B8" t="n">
        <x:v>439.5487249553553</x:v>
      </x:c>
      <x:c r="C8" t="n">
        <x:v>24.133474329174376</x:v>
      </x:c>
      <x:c r="D8" t="n">
        <x:v>5.480182607386164</x:v>
      </x:c>
      <x:c r="E8" t="n">
        <x:v>116.05500431924654</x:v>
      </x:c>
      <x:c r="F8" t="n">
        <x:v>115.17361873751037</x:v>
      </x:c>
      <x:c r="G8" t="n">
        <x:v>100.76441815246856</x:v>
      </x:c>
      <x:c r="H8" t="n">
        <x:v>10.974901870993772</x:v>
      </x:c>
    </x:row>
    <x:row r="9">
      <x:c r="A9" t="n">
        <x:v>2033</x:v>
      </x:c>
      <x:c r="B9" t="n">
        <x:v>439.5365156544158</x:v>
      </x:c>
      <x:c r="C9" t="n">
        <x:v>19.964918312813275</x:v>
      </x:c>
      <x:c r="D9" t="n">
        <x:v>5.287278421741231</x:v>
      </x:c>
      <x:c r="E9" t="n">
        <x:v>117.23905910892293</x:v>
      </x:c>
      <x:c r="F9" t="n">
        <x:v>116.10098258137842</x:v>
      </x:c>
      <x:c r="G9" t="n">
        <x:v>99.56203209893636</x:v>
      </x:c>
      <x:c r="H9" t="n">
        <x:v>10.039948945087007</x:v>
      </x:c>
    </x:row>
    <x:row r="10">
      <x:c r="A10" t="n">
        <x:v>2034</x:v>
      </x:c>
      <x:c r="B10" t="n">
        <x:v>439.120667608262</x:v>
      </x:c>
      <x:c r="C10" t="n">
        <x:v>15.863392778412628</x:v>
      </x:c>
      <x:c r="D10" t="n">
        <x:v>5.06332780603541</x:v>
      </x:c>
      <x:c r="E10" t="n">
        <x:v>118.179865672992</x:v>
      </x:c>
      <x:c r="F10" t="n">
        <x:v>116.77556747381462</x:v>
      </x:c>
      <x:c r="G10" t="n">
        <x:v>98.08028016315174</x:v>
      </x:c>
      <x:c r="H10" t="n">
        <x:v>9.023464022381841</x:v>
      </x:c>
    </x:row>
    <x:row r="11">
      <x:c r="A11" t="n">
        <x:v>2035</x:v>
      </x:c>
      <x:c r="B11" t="n">
        <x:v>438.35221074485685</x:v>
      </x:c>
      <x:c r="C11" t="n">
        <x:v>12.077774140736075</x:v>
      </x:c>
      <x:c r="D11" t="n">
        <x:v>4.814291647646132</x:v>
      </x:c>
      <x:c r="E11" t="n">
        <x:v>118.89615942866392</x:v>
      </x:c>
      <x:c r="F11" t="n">
        <x:v>117.21730214000974</x:v>
      </x:c>
      <x:c r="G11" t="n">
        <x:v>96.35072153500012</x:v>
      </x:c>
      <x:c r="H11" t="n">
        <x:v>7.963560307657269</x:v>
      </x:c>
    </x:row>
    <x:row r="12">
      <x:c r="A12" t="n">
        <x:v>2036</x:v>
      </x:c>
      <x:c r="B12" t="n">
        <x:v>437.2027573049912</x:v>
      </x:c>
      <x:c r="C12" t="n">
        <x:v>8.001682138359147</x:v>
      </x:c>
      <x:c r="D12" t="n">
        <x:v>4.548974210386556</x:v>
      </x:c>
      <x:c r="E12" t="n">
        <x:v>119.37071333932589</x:v>
      </x:c>
      <x:c r="F12" t="n">
        <x:v>117.40904052486306</x:v>
      </x:c>
      <x:c r="G12" t="n">
        <x:v>94.3579622983715</x:v>
      </x:c>
      <x:c r="H12" t="n">
        <x:v>6.849737595935918</x:v>
      </x:c>
    </x:row>
    <x:row r="13">
      <x:c r="A13" t="n">
        <x:v>2037</x:v>
      </x:c>
      <x:c r="B13" t="n">
        <x:v>435.6818952118048</x:v>
      </x:c>
      <x:c r="C13" t="n">
        <x:v>3.9310465555324132</x:v>
      </x:c>
      <x:c r="D13" t="n">
        <x:v>4.2647395434072</x:v>
      </x:c>
      <x:c r="E13" t="n">
        <x:v>119.60385100758931</x:v>
      </x:c>
      <x:c r="F13" t="n">
        <x:v>117.3517488478895</x:v>
      </x:c>
      <x:c r="G13" t="n">
        <x:v>92.10952269765868</x:v>
      </x:c>
      <x:c r="H13" t="n">
        <x:v>5.693540981524193</x:v>
      </x:c>
    </x:row>
    <x:row r="14">
      <x:c r="A14" t="n">
        <x:v>2038</x:v>
      </x:c>
      <x:c r="B14" t="n">
        <x:v>433.8318887892341</x:v>
      </x:c>
      <x:c r="C14" t="n">
        <x:v>0.1389710514756537</x:v>
      </x:c>
      <x:c r="D14" t="n">
        <x:v>3.9641866982595504</x:v>
      </x:c>
      <x:c r="E14" t="n">
        <x:v>119.61209293157557</x:v>
      </x:c>
      <x:c r="F14" t="n">
        <x:v>117.06306602214782</x:v>
      </x:c>
      <x:c r="G14" t="n">
        <x:v>89.63348314660117</x:v>
      </x:c>
      <x:c r="H14" t="n">
        <x:v>4.522457799219334</x:v>
      </x:c>
    </x:row>
    <x:row r="15">
      <x:c r="A15" t="n">
        <x:v>2039</x:v>
      </x:c>
      <x:c r="B15" t="n">
        <x:v>431.71111502080976</x:v>
      </x:c>
      <x:c r="C15" t="n">
        <x:v>-3.2200697603961377</x:v>
      </x:c>
      <x:c r="D15" t="n">
        <x:v>3.6538172178923314</x:v>
      </x:c>
      <x:c r="E15" t="n">
        <x:v>119.42112099955209</x:v>
      </x:c>
      <x:c r="F15" t="n">
        <x:v>116.57001819190849</x:v>
      </x:c>
      <x:c r="G15" t="n">
        <x:v>86.96891019993093</x:v>
      </x:c>
      <x:c r="H15" t="n">
        <x:v>3.3686477977876663</x:v>
      </x:c>
    </x:row>
    <x:row r="16">
      <x:c r="A16" t="n">
        <x:v>2040</x:v>
      </x:c>
      <x:c r="B16" t="n">
        <x:v>429.38235441882455</x:v>
      </x:c>
      <x:c r="C16" t="n">
        <x:v>-6.081038550209435</x:v>
      </x:c>
      <x:c r="D16" t="n">
        <x:v>3.3414217085569713</x:v>
      </x:c>
      <x:c r="E16" t="n">
        <x:v>119.06047425365675</x:v>
      </x:c>
      <x:c r="F16" t="n">
        <x:v>115.9035341073592</x:v>
      </x:c>
      <x:c r="G16" t="n">
        <x:v>84.15876034238586</x:v>
      </x:c>
      <x:c r="H16" t="n">
        <x:v>2.2619697277626973</x:v>
      </x:c>
    </x:row>
    <x:row r="17">
      <x:c r="A17" t="n">
        <x:v>2041</x:v>
      </x:c>
      <x:c r="B17" t="n">
        <x:v>426.9035119753505</x:v>
      </x:c>
      <x:c r="C17" t="n">
        <x:v>-8.455024302839584</x:v>
      </x:c>
      <x:c r="D17" t="n">
        <x:v>3.0344286177459425</x:v>
      </x:c>
      <x:c r="E17" t="n">
        <x:v>118.55903408416793</x:v>
      </x:c>
      <x:c r="F17" t="n">
        <x:v>115.09378712796105</x:v>
      </x:c>
      <x:c r="G17" t="n">
        <x:v>81.24398733816942</x:v>
      </x:c>
      <x:c r="H17" t="n">
        <x:v>1.2253473733707088</x:v>
      </x:c>
    </x:row>
    <x:row r="18">
      <x:c r="A18" t="n">
        <x:v>2042</x:v>
      </x:c>
      <x:c r="B18" t="n">
        <x:v>424.31846002884674</x:v>
      </x:c>
      <x:c r="C18" t="n">
        <x:v>-10.432554216523759</x:v>
      </x:c>
      <x:c r="D18" t="n">
        <x:v>2.738772622232218</x:v>
      </x:c>
      <x:c r="E18" t="n">
        <x:v>117.94031300576984</x:v>
      </x:c>
      <x:c r="F18" t="n">
        <x:v>114.16534680355369</x:v>
      </x:c>
      <x:c r="G18" t="n">
        <x:v>78.25755686652178</x:v>
      </x:c>
      <x:c r="H18" t="n">
        <x:v>0.27087396539630015</x:v>
      </x:c>
    </x:row>
    <x:row r="19">
      <x:c r="A19" t="n">
        <x:v>2043</x:v>
      </x:c>
      <x:c r="B19" t="n">
        <x:v>421.6680473118905</x:v>
      </x:c>
      <x:c r="C19" t="n">
        <x:v>-12.024859345406625</x:v>
      </x:c>
      <x:c r="D19" t="n">
        <x:v>2.4579131158305265</x:v>
      </x:c>
      <x:c r="E19" t="n">
        <x:v>117.22715745561786</x:v>
      </x:c>
      <x:c r="F19" t="n">
        <x:v>113.14203472210619</x:v>
      </x:c>
      <x:c r="G19" t="n">
        <x:v>75.23069079864557</x:v>
      </x:c>
      <x:c r="H19" t="n">
        <x:v>-0.5926185332260222</x:v>
      </x:c>
    </x:row>
    <x:row r="20">
      <x:c r="A20" t="n">
        <x:v>2044</x:v>
      </x:c>
      <x:c r="B20" t="n">
        <x:v>419.07355529002905</x:v>
      </x:c>
      <x:c r="C20" t="n">
        <x:v>-12.573597681730137</x:v>
      </x:c>
      <x:c r="D20" t="n">
        <x:v>2.1945843797159075</x:v>
      </x:c>
      <x:c r="E20" t="n">
        <x:v>116.48145800795412</x:v>
      </x:c>
      <x:c r="F20" t="n">
        <x:v>112.08780913954776</x:v>
      </x:c>
      <x:c r="G20" t="n">
        <x:v>72.24381974641769</x:v>
      </x:c>
      <x:c r="H20" t="n">
        <x:v>-1.3139290131877641</x:v>
      </x:c>
    </x:row>
    <x:row r="21">
      <x:c r="A21" t="n">
        <x:v>2045</x:v>
      </x:c>
      <x:c r="B21" t="n">
        <x:v>416.5593138085294</x:v>
      </x:c>
      <x:c r="C21" t="n">
        <x:v>-12.810676876994998</x:v>
      </x:c>
      <x:c r="D21" t="n">
        <x:v>1.9617349647601998</x:v>
      </x:c>
      <x:c r="E21" t="n">
        <x:v>115.72169815932666</x:v>
      </x:c>
      <x:c r="F21" t="n">
        <x:v>111.0217775953421</x:v>
      </x:c>
      <x:c r="G21" t="n">
        <x:v>69.31955843296376</x:v>
      </x:c>
      <x:c r="H21" t="n">
        <x:v>-1.9016109721246406</x:v>
      </x:c>
    </x:row>
    <x:row r="22">
      <x:c r="A22" t="n">
        <x:v>2046</x:v>
      </x:c>
      <x:c r="B22" t="n">
        <x:v>414.1221039185655</x:v>
      </x:c>
      <x:c r="C22" t="n">
        <x:v>-12.962259081286508</x:v>
      </x:c>
      <x:c r="D22" t="n">
        <x:v>1.7582504136947703</x:v>
      </x:c>
      <x:c r="E22" t="n">
        <x:v>114.95294845999163</x:v>
      </x:c>
      <x:c r="F22" t="n">
        <x:v>109.9491902536465</x:v>
      </x:c>
      <x:c r="G22" t="n">
        <x:v>66.46271669411037</x:v>
      </x:c>
      <x:c r="H22" t="n">
        <x:v>-2.3776287886339906</x:v>
      </x:c>
    </x:row>
    <x:row r="23">
      <x:c r="A23" t="n">
        <x:v>2047</x:v>
      </x:c>
      <x:c r="B23" t="n">
        <x:v>411.7530113092332</x:v>
      </x:c>
      <x:c r="C23" t="n">
        <x:v>-13.090962846652035</x:v>
      </x:c>
      <x:c r="D23" t="n">
        <x:v>1.579720103301993</x:v>
      </x:c>
      <x:c r="E23" t="n">
        <x:v>114.1765657562314</x:v>
      </x:c>
      <x:c r="F23" t="n">
        <x:v>108.87146062541302</x:v>
      </x:c>
      <x:c r="G23" t="n">
        <x:v>63.67321383267734</x:v>
      </x:c>
      <x:c r="H23" t="n">
        <x:v>-2.7635972048195887</x:v>
      </x:c>
    </x:row>
    <x:row r="24">
      <x:c r="A24" t="n">
        <x:v>2048</x:v>
      </x:c>
      <x:c r="B24" t="n">
        <x:v>409.4525587750651</x:v>
      </x:c>
      <x:c r="C24" t="n">
        <x:v>-13.13776229559362</x:v>
      </x:c>
      <x:c r="D24" t="n">
        <x:v>1.4216641575584714</x:v>
      </x:c>
      <x:c r="E24" t="n">
        <x:v>113.39740752838411</x:v>
      </x:c>
      <x:c r="F24" t="n">
        <x:v>107.79360263925152</x:v>
      </x:c>
      <x:c r="G24" t="n">
        <x:v>60.95545887640565</x:v>
      </x:c>
      <x:c r="H24" t="n">
        <x:v>-3.0726867645780978</x:v>
      </x:c>
    </x:row>
    <x:row r="25">
      <x:c r="A25" t="n">
        <x:v>2049</x:v>
      </x:c>
      <x:c r="B25" t="n">
        <x:v>407.2164622734499</x:v>
      </x:c>
      <x:c r="C25" t="n">
        <x:v>-13.151243043845088</x:v>
      </x:c>
      <x:c r="D25" t="n">
        <x:v>1.2814837167328705</x:v>
      </x:c>
      <x:c r="E25" t="n">
        <x:v>112.61744980092026</x:v>
      </x:c>
      <x:c r="F25" t="n">
        <x:v>106.71765099062928</x:v>
      </x:c>
      <x:c r="G25" t="n">
        <x:v>58.310048019040806</x:v>
      </x:c>
      <x:c r="H25" t="n">
        <x:v>-3.318599404056158</x:v>
      </x:c>
    </x:row>
    <x:row r="26">
      <x:c r="A26" t="n">
        <x:v>2050</x:v>
      </x:c>
      <x:c r="B26" t="n">
        <x:v>405.03839029107525</x:v>
      </x:c>
      <x:c r="C26" t="n">
        <x:v>-13.15859851477533</x:v>
      </x:c>
      <x:c r="D26" t="n">
        <x:v>1.1563592739694832</x:v>
      </x:c>
      <x:c r="E26" t="n">
        <x:v>111.8370558442443</x:v>
      </x:c>
      <x:c r="F26" t="n">
        <x:v>105.64397484882402</x:v>
      </x:c>
      <x:c r="G26" t="n">
        <x:v>55.7354939314193</x:v>
      </x:c>
      <x:c r="H26" t="n">
        <x:v>-3.5140220365348673</x:v>
      </x:c>
    </x:row>
    <x:row r="27">
      <x:c r="A27" t="n">
        <x:v>2051</x:v>
      </x:c>
      <x:c r="B27" t="n">
        <x:v>402.91197544563227</x:v>
      </x:c>
      <x:c r="C27" t="n">
        <x:v>-13.170247560858517</x:v>
      </x:c>
      <x:c r="D27" t="n">
        <x:v>1.0436212973095307</x:v>
      </x:c>
      <x:c r="E27" t="n">
        <x:v>111.05597102028837</x:v>
      </x:c>
      <x:c r="F27" t="n">
        <x:v>104.57230629485218</x:v>
      </x:c>
      <x:c r="G27" t="n">
        <x:v>53.229557324951585</x:v>
      </x:c>
      <x:c r="H27" t="n">
        <x:v>-3.669710769014784</x:v>
      </x:c>
    </x:row>
    <x:row r="28">
      <x:c r="A28" t="n">
        <x:v>2052</x:v>
      </x:c>
      <x:c r="B28" t="n">
        <x:v>400.8343344990971</x:v>
      </x:c>
      <x:c r="C28" t="n">
        <x:v>-13.166815938415954</x:v>
      </x:c>
      <x:c r="D28" t="n">
        <x:v>0.9409786459325353</x:v>
      </x:c>
      <x:c r="E28" t="n">
        <x:v>110.27508971477042</x:v>
      </x:c>
      <x:c r="F28" t="n">
        <x:v>103.50356103912088</x:v>
      </x:c>
      <x:c r="G28" t="n">
        <x:v>50.79153232431601</x:v>
      </x:c>
      <x:c r="H28" t="n">
        <x:v>-3.7928909366241363</x:v>
      </x:c>
    </x:row>
    <x:row r="29">
      <x:c r="A29" t="n">
        <x:v>2053</x:v>
      </x:c>
      <x:c r="B29" t="n">
        <x:v>398.8014208790604</x:v>
      </x:c>
      <x:c r="C29" t="n">
        <x:v>-13.163423316500863</x:v>
      </x:c>
      <x:c r="D29" t="n">
        <x:v>0.8469165899653195</x:v>
      </x:c>
      <x:c r="E29" t="n">
        <x:v>109.49440961469519</x:v>
      </x:c>
      <x:c r="F29" t="n">
        <x:v>102.437729297714</x:v>
      </x:c>
      <x:c r="G29" t="n">
        <x:v>48.41958261062936</x:v>
      </x:c>
      <x:c r="H29" t="n">
        <x:v>-3.8903049967933097</x:v>
      </x:c>
    </x:row>
    <x:row r="30">
      <x:c r="A30" t="n">
        <x:v>2054</x:v>
      </x:c>
      <x:c r="B30" t="n">
        <x:v>396.80987074709805</x:v>
      </x:c>
      <x:c r="C30" t="n">
        <x:v>-13.160062235867388</x:v>
      </x:c>
      <x:c r="D30" t="n">
        <x:v>0.7599876508935761</x:v>
      </x:c>
      <x:c r="E30" t="n">
        <x:v>108.7139288494512</x:v>
      </x:c>
      <x:c r="F30" t="n">
        <x:v>101.37480176693714</x:v>
      </x:c>
      <x:c r="G30" t="n">
        <x:v>46.11192200570221</x:v>
      </x:c>
      <x:c r="H30" t="n">
        <x:v>-3.967297026001364</x:v>
      </x:c>
    </x:row>
    <x:row r="31">
      <x:c r="A31" t="n">
        <x:v>2055</x:v>
      </x:c>
      <x:c r="B31" t="n">
        <x:v>394.85686562425093</x:v>
      </x:c>
      <x:c r="C31" t="n">
        <x:v>-13.156726648566355</x:v>
      </x:c>
      <x:c r="D31" t="n">
        <x:v>0.6790356243901878</x:v>
      </x:c>
      <x:c r="E31" t="n">
        <x:v>107.93364590711127</x:v>
      </x:c>
      <x:c r="F31" t="n">
        <x:v>100.31476953593065</x:v>
      </x:c>
      <x:c r="G31" t="n">
        <x:v>43.86681301113546</x:v>
      </x:c>
      <x:c r="H31" t="n">
        <x:v>-4.028102733892679</x:v>
      </x:c>
    </x:row>
    <x:row r="32">
      <x:c r="A32" t="n">
        <x:v>2056</x:v>
      </x:c>
      <x:c r="B32" t="n">
        <x:v>392.94002338085477</x:v>
      </x:c>
      <x:c r="C32" t="n">
        <x:v>-13.153411725664967</x:v>
      </x:c>
      <x:c r="D32" t="n">
        <x:v>0.6031354134714557</x:v>
      </x:c>
      <x:c r="E32" t="n">
        <x:v>107.15355956213665</x:v>
      </x:c>
      <x:c r="F32" t="n">
        <x:v>99.25762401124432</x:v>
      </x:c>
      <x:c r="G32" t="n">
        <x:v>41.68256540147421</x:v>
      </x:c>
      <x:c r="H32" t="n">
        <x:v>-4.076079337300511</x:v>
      </x:c>
    </x:row>
    <x:row r="33">
      <x:c r="A33" t="n">
        <x:v>2057</x:v>
      </x:c>
      <x:c r="B33" t="n">
        <x:v>391.05731171643913</x:v>
      </x:c>
      <x:c r="C33" t="n">
        <x:v>-13.15011366900116</x:v>
      </x:c>
      <x:c r="D33" t="n">
        <x:v>0.5315453316892409</x:v>
      </x:c>
      <x:c r="E33" t="n">
        <x:v>106.37366881424529</x:v>
      </x:c>
      <x:c r="F33" t="n">
        <x:v>98.20335685309684</x:v>
      </x:c>
      <x:c r="G33" t="n">
        <x:v>39.557534869652734</x:v>
      </x:c>
      <x:c r="H33" t="n">
        <x:v>-4.113887762994582</x:v>
      </x:c>
    </x:row>
    <x:row r="34">
      <x:c r="A34" t="n">
        <x:v>2058</x:v>
      </x:c>
      <x:c r="B34" t="n">
        <x:v>389.20697947168213</x:v>
      </x:c>
      <x:c r="C34" t="n">
        <x:v>-13.146829538389122</x:v>
      </x:c>
      <x:c r="D34" t="n">
        <x:v>0.4636692912127591</x:v>
      </x:c>
      <x:c r="E34" t="n">
        <x:v>105.59397283752806</x:v>
      </x:c>
      <x:c r="F34" t="n">
        <x:v>97.15195992234723</x:v>
      </x:c>
      <x:c r="G34" t="n">
        <x:v>37.490121722144394</x:v>
      </x:c>
      <x:c r="H34" t="n">
        <x:v>-4.1436370636384865</x:v>
      </x:c>
    </x:row>
    <x:row r="35">
      <x:c r="A35" t="n">
        <x:v>2059</x:v>
      </x:c>
      <x:c r="B35" t="n">
        <x:v>387.387502079104</x:v>
      </x:c>
      <x:c r="C35" t="n">
        <x:v>-13.143557099301686</x:v>
      </x:c>
      <x:c r="D35" t="n">
        <x:v>0.3990268264265251</x:v>
      </x:c>
      <x:c r="E35" t="n">
        <x:v>104.8144709385984</x:v>
      </x:c>
      <x:c r="F35" t="n">
        <x:v>96.10342523690073</x:v>
      </x:c>
      <x:c r="G35" t="n">
        <x:v>35.47876962091759</x:v>
      </x:c>
      <x:c r="H35" t="n">
        <x:v>-4.166998882478883</x:v>
      </x:c>
    </x:row>
    <x:row r="36">
      <x:c r="A36" t="n">
        <x:v>2060</x:v>
      </x:c>
      <x:c r="B36" t="n">
        <x:v>385.5975382242576</x:v>
      </x:c>
      <x:c r="C36" t="n">
        <x:v>-13.1402946922666</x:v>
      </x:c>
      <x:c r="D36" t="n">
        <x:v>0.3372293284631991</x:v>
      </x:c>
      <x:c r="E36" t="n">
        <x:v>104.03516252248772</x:v>
      </x:c>
      <x:c r="F36" t="n">
        <x:v>95.05774493619943</x:v>
      </x:c>
      <x:c r="G36" t="n">
        <x:v>33.521964369283545</x:v>
      </x:c>
      <x:c r="H36" t="n">
        <x:v>-4.18529817787172</x:v>
      </x:c>
    </x:row>
    <x:row r="37">
      <x:c r="A37" t="n">
        <x:v>2061</x:v>
      </x:c>
      <x:c r="B37" t="n">
        <x:v>383.8358953958785</x:v>
      </x:c>
      <x:c r="C37" t="n">
        <x:v>-13.137041123092374</x:v>
      </x:c>
      <x:c r="D37" t="n">
        <x:v>0.27796120287156834</x:v>
      </x:c>
      <x:c r="E37" t="n">
        <x:v>103.25604706505105</x:v>
      </x:c>
      <x:c r="F37" t="n">
        <x:v>94.01491125250541</x:v>
      </x:c>
      <x:c r="G37" t="n">
        <x:v>31.618232738867352</x:v>
      </x:c>
      <x:c r="H37" t="n">
        <x:v>-4.199585130973795</x:v>
      </x:c>
    </x:row>
    <x:row r="38">
      <x:c r="A38" t="n">
        <x:v>2062</x:v>
      </x:c>
      <x:c r="B38" t="n">
        <x:v>382.10150248453175</x:v>
      </x:c>
      <x:c r="C38" t="n">
        <x:v>-13.133795571965182</x:v>
      </x:c>
      <x:c r="D38" t="n">
        <x:v>0.2209649296127716</x:v>
      </x:c>
      <x:c r="E38" t="n">
        <x:v>102.47712409076392</x:v>
      </x:c>
      <x:c r="F38" t="n">
        <x:v>92.97491648780705</x:v>
      </x:c>
      <x:c r="G38" t="n">
        <x:v>29.766141335157332</x:v>
      </x:c>
      <x:c r="H38" t="n">
        <x:v>-4.210692139067344</x:v>
      </x:c>
    </x:row>
    <x:row r="39">
      <x:c r="A39" t="n">
        <x:v>2063</x:v>
      </x:c>
      <x:c r="B39" t="n">
        <x:v>380.39338797072753</x:v>
      </x:c>
      <x:c r="C39" t="n">
        <x:v>-13.130557519022533</x:v>
      </x:c>
      <x:c r="D39" t="n">
        <x:v>0.1660292162334822</x:v>
      </x:c>
      <x:c r="E39" t="n">
        <x:v>101.69839315493324</x:v>
      </x:c>
      <x:c r="F39" t="n">
        <x:v>91.93775299532798</x:v>
      </x:c>
      <x:c r="G39" t="n">
        <x:v>27.964295499338654</x:v>
      </x:c>
      <x:c r="H39" t="n">
        <x:v>-4.2192789877453585</x:v>
      </x:c>
    </x:row>
    <x:row r="40">
      <x:c r="A40" t="n">
        <x:v>2064</x:v>
      </x:c>
      <x:c r="B40" t="n">
        <x:v>378.7106625458834</x:v>
      </x:c>
      <x:c r="C40" t="n">
        <x:v>-13.127326683947683</x:v>
      </x:c>
      <x:c r="D40" t="n">
        <x:v>0.11297960284854325</x:v>
      </x:c>
      <x:c r="E40" t="n">
        <x:v>100.9198538294906</x:v>
      </x:c>
      <x:c r="F40" t="n">
        <x:v>90.9034131647712</x:v>
      </x:c>
      <x:c r="G40" t="n">
        <x:v>26.211338244365667</x:v>
      </x:c>
      <x:c r="H40" t="n">
        <x:v>-4.225868653716963</x:v>
      </x:c>
    </x:row>
    <x:row r="41">
      <x:c r="A41" t="n">
        <x:v>2065</x:v>
      </x:c>
      <x:c r="B41" t="n">
        <x:v>377.05250524926066</x:v>
      </x:c>
      <x:c r="C41" t="n">
        <x:v>-13.124102977271773</x:v>
      </x:c>
      <x:c r="D41" t="n">
        <x:v>0.06167101056399105</x:v>
      </x:c>
      <x:c r="E41" t="n">
        <x:v>100.1415056916737</x:v>
      </x:c>
      <x:c r="F41" t="n">
        <x:v>89.87188941057394</x:v>
      </x:c>
      <x:c r="G41" t="n">
        <x:v>24.505949223458586</x:v>
      </x:c>
      <x:c r="H41" t="n">
        <x:v>-4.230875681525794</x:v>
      </x:c>
    </x:row>
    <x:row r="42">
      <x:c r="A42" t="n">
        <x:v>2066</x:v>
      </x:c>
      <x:c r="B42" t="n">
        <x:v>375.4181523940536</x:v>
      </x:c>
      <x:c r="C42" t="n">
        <x:v>-13.120886461313418</x:v>
      </x:c>
      <x:c r="D42" t="n">
        <x:v>0.011981830396955662</x:v>
      </x:c>
      <x:c r="E42" t="n">
        <x:v>99.3633483150243</x:v>
      </x:c>
      <x:c r="F42" t="n">
        <x:v>88.84317416257724</x:v>
      </x:c>
      <x:c r="G42" t="n">
        <x:v>22.846843729416427</x:v>
      </x:c>
      <x:c r="H42" t="n">
        <x:v>-4.234628674442106</x:v>
      </x:c>
    </x:row>
    <x:row r="43">
      <x:c r="A43" t="n">
        <x:v>2067</x:v>
      </x:c>
      <x:c r="B43" t="n">
        <x:v>373.80688870647475</x:v>
      </x:c>
      <x:c r="C43" t="n">
        <x:v>-13.117677318963981</x:v>
      </x:c>
      <x:c r="D43" t="n">
        <x:v>-0.0361907666874548</x:v>
      </x:c>
      <x:c r="E43" t="n">
        <x:v>98.58538126223749</x:v>
      </x:c>
      <x:c r="F43" t="n">
        <x:v>87.81725985862492</x:v>
      </x:c>
      <x:c r="G43" t="n">
        <x:v>21.232771723317846</x:v>
      </x:c>
      <x:c r="H43" t="n">
        <x:v>-4.237388120334422</x:v>
      </x:c>
    </x:row>
    <x:row r="44">
      <x:c r="A44" t="n">
        <x:v>2068</x:v>
      </x:c>
      <x:c r="B44" t="n">
        <x:v>372.2180402211028</x:v>
      </x:c>
      <x:c r="C44" t="n">
        <x:v>-13.114475828804625</x:v>
      </x:c>
      <x:c r="D44" t="n">
        <x:v>-0.08293455176554332</x:v>
      </x:c>
      <x:c r="E44" t="n">
        <x:v>97.80760407948661</x:v>
      </x:c>
      <x:c r="F44" t="n">
        <x:v>86.79413893870077</x:v>
      </x:c>
      <x:c r="G44" t="n">
        <x:v>19.6625168913351</x:v>
      </x:c>
      <x:c r="H44" t="n">
        <x:v>-4.239360520121303</x:v>
      </x:c>
    </x:row>
    <x:row r="45">
      <x:c r="A45" t="n">
        <x:v>2069</x:v>
      </x:c>
      <x:c r="B45" t="n">
        <x:v>370.6509685704275</x:v>
      </x:c>
      <x:c r="C45" t="n">
        <x:v>-13.111282345298541</x:v>
      </x:c>
      <x:c r="D45" t="n">
        <x:v>-0.12832519261387976</x:v>
      </x:c>
      <x:c r="E45" t="n">
        <x:v>97.03001629192292</x:v>
      </x:c>
      <x:c r="F45" t="n">
        <x:v>85.77380384028992</x:v>
      </x:c>
      <x:c r="G45" t="n">
        <x:v>18.134895728516355</x:v>
      </x:c>
      <x:c r="H45" t="n">
        <x:v>-4.240709585711659</x:v>
      </x:c>
    </x:row>
    <x:row r="46">
      <x:c r="A46" t="n">
        <x:v>2070</x:v>
      </x:c>
      <x:c r="B46" t="n">
        <x:v>369.10506638155977</x:v>
      </x:c>
      <x:c r="C46" t="n">
        <x:v>-13.108097283029538</x:v>
      </x:c>
      <x:c r="D46" t="n">
        <x:v>-0.172428600068673</x:v>
      </x:c>
      <x:c r="E46" t="n">
        <x:v>96.25261740011005</x:v>
      </x:c>
      <x:c r="F46" t="n">
        <x:v>84.7562469947143</x:v>
      </x:c>
      <x:c r="G46" t="n">
        <x:v>16.648756648500665</x:v>
      </x:c>
      <x:c r="H46" t="n">
        <x:v>-4.241565115273612</x:v>
      </x:c>
    </x:row>
    <x:row r="47">
      <x:c r="A47" t="n">
        <x:v>2071</x:v>
      </x:c>
      <x:c r="B47" t="n">
        <x:v>367.5797535525539</x:v>
      </x:c>
      <x:c r="C47" t="n">
        <x:v>-13.104921104153897</x:v>
      </x:c>
      <x:c r="D47" t="n">
        <x:v>-0.21530279213465553</x:v>
      </x:c>
      <x:c r="E47" t="n">
        <x:v>95.47540687720267</x:v>
      </x:c>
      <x:c r="F47" t="n">
        <x:v>83.74146082424363</x:v>
      </x:c>
      <x:c r="G47" t="n">
        <x:v>15.20297911822121</x:v>
      </x:c>
      <x:c r="H47" t="n">
        <x:v>-4.2420300275955665</x:v>
      </x:c>
    </x:row>
    <x:row r="48">
      <x:c r="A48" t="n">
        <x:v>2072</x:v>
      </x:c>
      <x:c r="B48" t="n">
        <x:v>366.07447422792984</x:v>
      </x:c>
      <x:c r="C48" t="n">
        <x:v>-13.10175430839647</x:v>
      </x:c>
      <x:c r="D48" t="n">
        <x:v>-0.2569993757511675</x:v>
      </x:c>
      <x:c r="E48" t="n">
        <x:v>94.69838416671836</x:v>
      </x:c>
      <x:c r="F48" t="n">
        <x:v>82.72943773982442</x:v>
      </x:c>
      <x:c r="G48" t="n">
        <x:v>13.796472816728837</x:v>
      </x:c>
      <x:c r="H48" t="n">
        <x:v>-4.242185937376554</x:v>
      </x:c>
    </x:row>
    <x:row r="49">
      <x:c r="A49" t="n">
        <x:v>2073</x:v>
      </x:c>
      <x:c r="B49" t="n">
        <x:v>364.58869433035113</x:v>
      </x:c>
      <x:c r="C49" t="n">
        <x:v>-13.09859742505773</x:v>
      </x:c>
      <x:c r="D49" t="n">
        <x:v>-0.2975647254037015</x:v>
      </x:c>
      <x:c r="E49" t="n">
        <x:v>93.92154868078357</x:v>
      </x:c>
      <x:c r="F49" t="n">
        <x:v>81.72017013930285</x:v>
      </x:c>
      <x:c r="G49" t="n">
        <x:v>12.428176817331817</x:v>
      </x:c>
      <x:c r="H49" t="n">
        <x:v>-4.242097574082739</x:v>
      </x:c>
    </x:row>
    <x:row r="50">
      <x:c r="A50" t="n">
        <x:v>2074</x:v>
      </x:c>
      <x:c r="B50" t="n">
        <x:v>363.1218995350306</x:v>
      </x:c>
      <x:c r="C50" t="n">
        <x:v>-13.09545100660883</x:v>
      </x:c>
      <x:c r="D50" t="n">
        <x:v>-0.337040921347016</x:v>
      </x:c>
      <x:c r="E50" t="n">
        <x:v>93.14489979875952</x:v>
      </x:c>
      <x:c r="F50" t="n">
        <x:v>80.71365040604319</x:v>
      </x:c>
      <x:c r="G50" t="n">
        <x:v>11.097058792301635</x:v>
      </x:c>
      <x:c r="H50" t="n">
        <x:v>-4.241816284234373</x:v>
      </x:c>
    </x:row>
    <x:row r="51">
      <x:c r="A51" t="n">
        <x:v>2075</x:v>
      </x:c>
      <x:c r="B51" t="n">
        <x:v>361.6735935969113</x:v>
      </x:c>
      <x:c r="C51" t="n">
        <x:v>-13.092315623540918</x:v>
      </x:c>
      <x:c r="D51" t="n">
        <x:v>-0.37546649719024394</x:v>
      </x:c>
      <x:c r="E51" t="n">
        <x:v>92.36843686617344</x:v>
      </x:c>
      <x:c r="F51" t="n">
        <x:v>79.70987090786419</x:v>
      </x:c>
      <x:c r="G51" t="n">
        <x:v>9.802114239440298</x:v>
      </x:c>
      <x:c r="H51" t="n">
        <x:v>-4.241382807235215</x:v>
      </x:c>
    </x:row>
    <x:row r="52">
      <x:c r="A52" t="n">
        <x:v>2076</x:v>
      </x:c>
      <x:c r="B52" t="n">
        <x:v>360.24329695927855</x:v>
      </x:c>
      <x:c r="C52" t="n">
        <x:v>-13.089191860206002</x:v>
      </x:c>
      <x:c r="D52" t="n">
        <x:v>-0.41287703627825323</x:v>
      </x:c>
      <x:c r="E52" t="n">
        <x:v>91.59215919389648</x:v>
      </x:c>
      <x:c r="F52" t="n">
        <x:v>78.70882399623217</x:v>
      </x:c>
      <x:c r="G52" t="n">
        <x:v>8.542365729843562</x:v>
      </x:c>
      <x:c r="H52" t="n">
        <x:v>-4.240829475423812</x:v>
      </x:c>
    </x:row>
    <x:row r="53">
      <x:c r="A53" t="n">
        <x:v>2077</x:v>
      </x:c>
      <x:c r="B53" t="n">
        <x:v>358.83054558720653</x:v>
      </x:c>
      <x:c r="C53" t="n">
        <x:v>-13.086080311443324</x:v>
      </x:c>
      <x:c r="D53" t="n">
        <x:v>-0.44930564812682583</x:v>
      </x:c>
      <x:c r="E53" t="n">
        <x:v>90.81606605752185</x:v>
      </x:c>
      <x:c r="F53" t="n">
        <x:v>77.71050200566206</x:v>
      </x:c>
      <x:c r="G53" t="n">
        <x:v>7.316862176228158</x:v>
      </x:c>
      <x:c r="H53" t="n">
        <x:v>-4.24018195777259</x:v>
      </x:c>
    </x:row>
    <x:row r="54">
      <x:c r="A54" t="n">
        <x:v>2078</x:v>
      </x:c>
      <x:c r="B54" t="n">
        <x:v>357.43488998093466</x:v>
      </x:c>
      <x:c r="C54" t="n">
        <x:v>-13.082981579829692</x:v>
      </x:c>
      <x:c r="D54" t="n">
        <x:v>-0.48478334968909476</x:v>
      </x:c>
      <x:c r="E54" t="n">
        <x:v>90.04015669690585</x:v>
      </x:c>
      <x:c r="F54" t="n">
        <x:v>76.7148972532879</x:v>
      </x:c>
      <x:c r="G54" t="n">
        <x:v>6.12467812122045</x:v>
      </x:c>
      <x:c r="H54" t="n">
        <x:v>-4.2394606418898855</x:v>
      </x:c>
    </x:row>
    <x:row r="55">
      <x:c r="A55" t="n">
        <x:v>2079</x:v>
      </x:c>
      <x:c r="B55" t="n">
        <x:v>356.0558943335361</x:v>
      </x:c>
      <x:c r="C55" t="n">
        <x:v>-13.079896273427284</x:v>
      </x:c>
      <x:c r="D55" t="n">
        <x:v>-0.5193393710936309</x:v>
      </x:c>
      <x:c r="E55" t="n">
        <x:v>89.2644303158426</x:v>
      </x:c>
      <x:c r="F55" t="n">
        <x:v>75.72200203857193</x:v>
      </x:c>
      <x:c r="G55" t="n">
        <x:v>4.96491304502979</x:v>
      </x:c>
      <x:c r="H55" t="n">
        <x:v>-4.238681729347164</x:v>
      </x:c>
    </x:row>
    <x:row r="56">
      <x:c r="A56" t="n">
        <x:v>2080</x:v>
      </x:c>
      <x:c r="B56" t="n">
        <x:v>354.69313580458606</x:v>
      </x:c>
      <x:c r="C56" t="n">
        <x:v>-13.076825003929844</x:v>
      </x:c>
      <x:c r="D56" t="n">
        <x:v>-0.5530014014241358</x:v>
      </x:c>
      <x:c r="E56" t="n">
        <x:v>88.48888608184862</x:v>
      </x:c>
      <x:c r="F56" t="n">
        <x:v>74.7318086431276</x:v>
      </x:c>
      <x:c r="G56" t="n">
        <x:v>3.8366906919529975</x:v>
      </x:c>
      <x:c r="H56" t="n">
        <x:v>-4.2378581037930285</x:v>
      </x:c>
    </x:row>
    <x:row r="57">
      <x:c r="A57" t="n">
        <x:v>2081</x:v>
      </x:c>
      <x:c r="B57" t="n">
        <x:v>353.3462038873621</x:v>
      </x:c>
      <x:c r="C57" t="n">
        <x:v>-13.073768385129583</x:v>
      </x:c>
      <x:c r="D57" t="n">
        <x:v>-0.5857957868834833</x:v>
      </x:c>
      <x:c r="E57" t="n">
        <x:v>87.7135231260384</x:v>
      </x:c>
      <x:c r="F57" t="n">
        <x:v>73.74430933063664</x:v>
      </x:c>
      <x:c r="G57" t="n">
        <x:v>2.7391584151771933</x:v>
      </x:c>
      <x:c r="H57" t="n">
        <x:v>-4.237000018982548</x:v>
      </x:c>
    </x:row>
    <x:row r="58">
      <x:c r="A58" t="n">
        <x:v>2082</x:v>
      </x:c>
      <x:c r="B58" t="n">
        <x:v>352.0146998517247</x:v>
      </x:c>
      <x:c r="C58" t="n">
        <x:v>-13.070727031643678</x:v>
      </x:c>
      <x:c r="D58" t="n">
        <x:v>-0.6177476911273487</x:v>
      </x:c>
      <x:c r="E58" t="n">
        <x:v>86.93834054307547</x:v>
      </x:c>
      <x:c r="F58" t="n">
        <x:v>72.75949634684412</x:v>
      </x:c>
      <x:c r="G58" t="n">
        <x:v>1.671486539367275</x:v>
      </x:c>
      <x:c r="H58" t="n">
        <x:v>-4.23611564407538</x:v>
      </x:c>
    </x:row>
    <x:row r="59">
      <x:c r="A59" t="n">
        <x:v>2083</x:v>
      </x:c>
      <x:c r="B59" t="n">
        <x:v>350.69823624848704</x:v>
      </x:c>
      <x:c r="C59" t="n">
        <x:v>-13.067701557852315</x:v>
      </x:c>
      <x:c r="D59" t="n">
        <x:v>-0.6488812255260001</x:v>
      </x:c>
      <x:c r="E59" t="n">
        <x:v>86.16333739118646</x:v>
      </x:c>
      <x:c r="F59" t="n">
        <x:v>71.77736191961831</x:v>
      </x:c>
      <x:c r="G59" t="n">
        <x:v>0.632867740541833</x:v>
      </x:c>
      <x:c r="H59" t="n">
        <x:v>-4.235211495808659</x:v>
      </x:c>
    </x:row>
    <x:row r="60">
      <x:c r="A60" t="n">
        <x:v>2084</x:v>
      </x:c>
      <x:c r="B60" t="n">
        <x:v>349.396436463985</x:v>
      </x:c>
      <x:c r="C60" t="n">
        <x:v>-13.064692577010124</x:v>
      </x:c>
      <x:c r="D60" t="n">
        <x:v>-0.6792195555052485</x:v>
      </x:c>
      <x:c r="E60" t="n">
        <x:v>85.38851269222786</x:v>
      </x:c>
      <x:c r="F60" t="n">
        <x:v>70.7978982590647</x:v>
      </x:c>
      <x:c r="G60" t="n">
        <x:v>-0.3774835572424009</x:v>
      </x:c>
      <x:c r="H60" t="n">
        <x:v>-4.234292781009957</x:v>
      </x:c>
    </x:row>
    <x:row r="61">
      <x:c r="A61" t="n">
        <x:v>2085</x:v>
      </x:c>
      <x:c r="B61" t="n">
        <x:v>348.1089343158602</x:v>
      </x:c>
      <x:c r="C61" t="n">
        <x:v>-13.061700700500804</x:v>
      </x:c>
      <x:c r="D61" t="n">
        <x:v>-0.7087849878450003</x:v>
      </x:c>
      <x:c r="E61" t="n">
        <x:v>84.61386543179697</x:v>
      </x:c>
      <x:c r="F61" t="n">
        <x:v>69.82109755768515</x:v>
      </x:c>
      <x:c r="G61" t="n">
        <x:v>-1.3603317688622216</x:v>
      </x:c>
      <x:c r="H61" t="n">
        <x:v>-4.233363668048714</x:v>
      </x:c>
    </x:row>
    <x:row r="62">
      <x:c r="A62" t="n">
        <x:v>2086</x:v>
      </x:c>
      <x:c r="B62" t="n">
        <x:v>346.8353736702778</x:v>
      </x:c>
      <x:c r="C62" t="n">
        <x:v>-13.058726638839447</x:v>
      </x:c>
      <x:c r="D62" t="n">
        <x:v>-0.7375990428034225</x:v>
      </x:c>
      <x:c r="E62" t="n">
        <x:v>83.83939455335269</x:v>
      </x:c>
      <x:c r="F62" t="n">
        <x:v>68.84695198436981</x:v>
      </x:c>
      <x:c r="G62" t="n">
        <x:v>-2.3164207269325066</x:v>
      </x:c>
      <x:c r="H62" t="n">
        <x:v>-4.232427508790141</x:v>
      </x:c>
    </x:row>
    <x:row r="63">
      <x:c r="A63" t="n">
        <x:v>2087</x:v>
      </x:c>
      <x:c r="B63" t="n">
        <x:v>345.5754081034946</x:v>
      </x:c>
      <x:c r="C63" t="n">
        <x:v>-13.055771078361175</x:v>
      </x:c>
      <x:c r="D63" t="n">
        <x:v>-0.765682515774361</x:v>
      </x:c>
      <x:c r="E63" t="n">
        <x:v>83.06509895964966</x:v>
      </x:c>
      <x:c r="F63" t="n">
        <x:v>67.87545368593325</x:v>
      </x:c>
      <x:c r="G63" t="n">
        <x:v>-3.246474235610297</x:v>
      </x:c>
      <x:c r="H63" t="n">
        <x:v>-4.2314870062535705</x:v>
      </x:c>
    </x:row>
    <x:row r="64">
      <x:c r="A64" t="n">
        <x:v>2088</x:v>
      </x:c>
      <x:c r="B64" t="n">
        <x:v>344.3287005862622</x:v>
      </x:c>
      <x:c r="C64" t="n">
        <x:v>-13.052834685869527</x:v>
      </x:c>
      <x:c r="D64" t="n">
        <x:v>-0.7930555269936947</x:v>
      </x:c>
      <x:c r="E64" t="n">
        <x:v>82.29097751389654</x:v>
      </x:c>
      <x:c r="F64" t="n">
        <x:v>66.9065947883629</x:v>
      </x:c>
      <x:c r="G64" t="n">
        <x:v>-4.151196609801689</x:v>
      </x:c>
      <x:c r="H64" t="n">
        <x:v>-4.230544347823116</x:v>
      </x:c>
    </x:row>
    <x:row r="65">
      <x:c r="A65" t="n">
        <x:v>2089</x:v>
      </x:c>
      <x:c r="B65" t="n">
        <x:v>343.0949231876625</x:v>
      </x:c>
      <x:c r="C65" t="n">
        <x:v>-13.049918112122084</x:v>
      </x:c>
      <x:c r="D65" t="n">
        <x:v>-0.8197375637107096</x:v>
      </x:c>
      <x:c r="E65" t="n">
        <x:v>81.51702904070764</x:v>
      </x:c>
      <x:c r="F65" t="n">
        <x:v>65.94036739785149</x:v>
      </x:c>
      <x:c r="G65" t="n">
        <x:v>-5.031273200077196</x:v>
      </x:c>
      <x:c r="H65" t="n">
        <x:v>-4.229601311074454</x:v>
      </x:c>
    </x:row>
    <x:row r="66">
      <x:c r="A66" t="n">
        <x:v>2090</x:v>
      </x:c>
      <x:c r="B66" t="n">
        <x:v>341.8737567956272</x:v>
      </x:c>
      <x:c r="C66" t="n">
        <x:v>-13.047021994439884</x:v>
      </x:c>
      <x:c r="D66" t="n">
        <x:v>-0.8457475162967221</x:v>
      </x:c>
      <x:c r="E66" t="n">
        <x:v>80.74325232689984</x:v>
      </x:c>
      <x:c r="F66" t="n">
        <x:v>64.97676360166768</x:v>
      </x:c>
      <x:c r="G66" t="n">
        <x:v>-5.887370903614794</x:v>
      </x:c>
      <x:c r="H66" t="n">
        <x:v>-4.228659347836251</x:v>
      </x:c>
    </x:row>
    <x:row r="67">
      <x:c r="A67" t="n">
        <x:v>2091</x:v>
      </x:c>
      <x:c r="B67" t="n">
        <x:v>340.66489085192023</x:v>
      </x:c>
      <x:c r="C67" t="n">
        <x:v>-13.044146958658143</x:v>
      </x:c>
      <x:c r="D67" t="n">
        <x:v>-0.8711037094643297</x:v>
      </x:c>
      <x:c r="E67" t="n">
        <x:v>79.96964612217374</x:v>
      </x:c>
      <x:c r="F67" t="n">
        <x:v>64.01577546890523</x:v>
      </x:c>
      <x:c r="G67" t="n">
        <x:v>-6.720138661497761</x:v>
      </x:c>
      <x:c r="H67" t="n">
        <x:v>-4.2277196509545325</x:v>
      </x:c>
    </x:row>
    <x:row r="68">
      <x:c r="A68" t="n">
        <x:v>2092</x:v>
      </x:c>
      <x:c r="B68" t="n">
        <x:v>339.4680230997827</x:v>
      </x:c>
      <x:c r="C68" t="n">
        <x:v>-13.041293620583012</x:v>
      </x:c>
      <x:c r="D68" t="n">
        <x:v>-0.8958239295326864</x:v>
      </x:c>
      <x:c r="E68" t="n">
        <x:v>79.19620913970849</x:v>
      </x:c>
      <x:c r="F68" t="n">
        <x:v>63.05739505114134</x:v>
      </x:c>
      <x:c r="G68" t="n">
        <x:v>-7.5302079426981265</x:v>
      </x:c>
      <x:c r="H68" t="n">
        <x:v>-4.226783207312924</x:v>
      </x:c>
    </x:row>
    <x:row r="69">
      <x:c r="A69" t="n">
        <x:v>2093</x:v>
      </x:c>
      <x:c r="B69" t="n">
        <x:v>338.2828593427737</x:v>
      </x:c>
      <x:c r="C69" t="n">
        <x:v>-13.03846258707903</x:v>
      </x:c>
      <x:c r="D69" t="n">
        <x:v>-0.9199254484839141</x:v>
      </x:c>
      <x:c r="E69" t="n">
        <x:v>78.42294005669204</x:v>
      </x:c>
      <x:c r="F69" t="n">
        <x:v>62.10161438302703</x:v>
      </x:c>
      <x:c r="G69" t="n">
        <x:v>-8.318193215077095</x:v>
      </x:c>
      <x:c r="H69" t="n">
        <x:v>-4.225850839933482</x:v>
      </x:c>
    </x:row>
    <x:row r="70">
      <x:c r="A70" t="n">
        <x:v>2094</x:v>
      </x:c>
      <x:c r="B70" t="n">
        <x:v>337.10911321361004</x:v>
      </x:c>
      <x:c r="C70" t="n">
        <x:v>-13.035654456881225</x:v>
      </x:c>
      <x:c r="D70" t="n">
        <x:v>-0.9434250454053674</x:v>
      </x:c>
      <x:c r="E70" t="n">
        <x:v>77.64983751480332</x:v>
      </x:c>
      <x:c r="F70" t="n">
        <x:v>61.14842548282632</x:v>
      </x:c>
      <x:c r="G70" t="n">
        <x:v>-9.084692403732003</x:v>
      </x:c>
      <x:c r="H70" t="n">
        <x:v>-4.224923241403492</x:v>
      </x:c>
    </x:row>
    <x:row r="71">
      <x:c r="A71" t="n">
        <x:v>2095</x:v>
      </x:c>
      <x:c r="B71" t="n">
        <x:v>335.94650595202387</x:v>
      </x:c>
      <x:c r="C71" t="n">
        <x:v>-13.032869821202787</x:v>
      </x:c>
      <x:c r="D71" t="n">
        <x:v>-0.9663390257921161</x:v>
      </x:c>
      <x:c r="E71" t="n">
        <x:v>76.8769001206583</x:v>
      </x:c>
      <x:c r="F71" t="n">
        <x:v>60.19782035291704</x:v>
      </x:c>
      <x:c r="G71" t="n">
        <x:v>-9.83028733701585</x:v>
      </x:c>
      <x:c r="H71" t="n">
        <x:v>-4.224001000412857</x:v>
      </x:c>
    </x:row>
    <x:row r="72">
      <x:c r="A72" t="n">
        <x:v>2096</x:v>
      </x:c>
      <x:c r="B72" t="n">
        <x:v>334.79476619082453</x:v>
      </x:c>
      <x:c r="C72" t="n">
        <x:v>-13.030109264191504</x:v>
      </x:c>
      <x:c r="D72" t="n">
        <x:v>-0.9886832390883553</x:v>
      </x:c>
      <x:c r="E72" t="n">
        <x:v>76.10412644622905</x:v>
      </x:c>
      <x:c r="F72" t="n">
        <x:v>59.24979098026244</x:v>
      </x:c>
      <x:c r="G72" t="n">
        <x:v>-10.555544180550722</x:v>
      </x:c>
      <x:c r="H72" t="n">
        <x:v>-4.2230846228202585</x:v>
      </x:c>
    </x:row>
    <x:row r="73">
      <x:c r="A73" t="n">
        <x:v>2097</x:v>
      </x:c>
      <x:c r="B73" t="n">
        <x:v>333.6536297494946</x:v>
      </x:c>
      <x:c r="C73" t="n">
        <x:v>-13.027373363274897</x:v>
      </x:c>
      <x:c r="D73" t="n">
        <x:v>-1.0104730947704428</x:v>
      </x:c>
      <x:c r="E73" t="n">
        <x:v>75.33151502924224</x:v>
      </x:c>
      <x:c r="F73" t="n">
        <x:v>58.304329336860505</x:v>
      </x:c>
      <x:c r="G73" t="n">
        <x:v>-11.261013859550738</x:v>
      </x:c>
      <x:c r="H73" t="n">
        <x:v>-4.222174548374956</x:v>
      </x:c>
    </x:row>
    <x:row r="74">
      <x:c r="A74" t="n">
        <x:v>2098</x:v>
      </x:c>
      <x:c r="B74" t="n">
        <x:v>332.52283943475504</x:v>
      </x:c>
      <x:c r="C74" t="n">
        <x:v>-13.02466268942394</x:v>
      </x:c>
      <x:c r="D74" t="n">
        <x:v>-1.031723577213759</x:v>
      </x:c>
      <x:c r="E74" t="n">
        <x:v>74.55906437356215</x:v>
      </x:c>
      <x:c r="F74" t="n">
        <x:v>57.36142738017616</x:v>
      </x:c>
      <x:c r="G74" t="n">
        <x:v>-11.947232469763946</x:v>
      </x:c>
      <x:c r="H74" t="n">
        <x:v>-4.221271163989438</x:v>
      </x:c>
    </x:row>
    <x:row r="75">
      <x:c r="A75" t="n">
        <x:v>2099</x:v>
      </x:c>
      <x:c r="B75" t="n">
        <x:v>331.4021448476265</x:v>
      </x:c>
      <x:c r="C75" t="n">
        <x:v>-13.021977807357628</x:v>
      </x:c>
      <x:c r="D75" t="n">
        <x:v>-1.05244925953716</x:v>
      </x:c>
      <x:c r="E75" t="n">
        <x:v>73.78677294956138</x:v>
      </x:c>
      <x:c r="F75" t="n">
        <x:v>56.42107705355973</x:v>
      </x:c>
      <x:c r="G75" t="n">
        <x:v>-12.61472167733591</x:v>
      </x:c>
      <x:c r="H75" t="n">
        <x:v>-4.220374814274055</x:v>
      </x:c>
    </x:row>
    <x:row r="76">
      <x:c r="A76" t="n">
        <x:v>2100</x:v>
      </x:c>
      <x:c r="B76" t="n">
        <x:v>330.2913021965838</x:v>
      </x:c>
      <x:c r="C76" t="n">
        <x:v>-13.019319275704962</x:v>
      </x:c>
      <x:c r="D76" t="n">
        <x:v>-1.0726643165808643</x:v>
      </x:c>
      <x:c r="E76" t="n">
        <x:v>73.01463919448204</x:v>
      </x:c>
      <x:c r="F76" t="n">
        <x:v>55.48327028665456</x:v>
      </x:c>
      <x:c r="G76" t="n">
        <x:v>-13.263989107890827</x:v>
      </x:c>
      <x:c r="H76" t="n">
        <x:v>-4.219485809898441</x:v>
      </x:c>
    </x:row>
    <x:row r="77">
      <x:c r="A77" t="n">
        <x:v>2101</x:v>
      </x:c>
      <x:c r="B77" t="n">
        <x:v>329.1900743351523</x:v>
      </x:c>
      <x:c r="C77" t="n">
        <x:v>-13.016685885323577</x:v>
      </x:c>
      <x:c r="D77" t="n">
        <x:v>-1.0923825371426013</x:v>
      </x:c>
      <x:c r="E77" t="n">
        <x:v>72.24266161727658</x:v>
      </x:c>
      <x:c r="F77" t="n">
        <x:v>54.54799910336814</x:v>
      </x:c>
      <x:c r="G77" t="n">
        <x:v>-13.89552859117401</x:v>
      </x:c>
      <x:c r="H77" t="n">
        <x:v>-4.2186043159423825</x:v>
      </x:c>
    </x:row>
    <x:row r="78">
      <x:c r="A78" t="n">
        <x:v>2102</x:v>
      </x:c>
      <x:c r="B78" t="n">
        <x:v>328.0982305077535</x:v>
      </x:c>
      <x:c r="C78" t="n">
        <x:v>-13.014076945844238</x:v>
      </x:c>
      <x:c r="D78" t="n">
        <x:v>-1.1116173071610094</x:v>
      </x:c>
      <x:c r="E78" t="n">
        <x:v>71.470838767841</x:v>
      </x:c>
      <x:c r="F78" t="n">
        <x:v>53.61525558995824</x:v>
      </x:c>
      <x:c r="G78" t="n">
        <x:v>-14.50982057292852</x:v>
      </x:c>
      <x:c r="H78" t="n">
        <x:v>-4.217730416909992</x:v>
      </x:c>
    </x:row>
    <x:row r="79">
      <x:c r="A79" t="n">
        <x:v>2103</x:v>
      </x:c>
      <x:c r="B79" t="n">
        <x:v>327.0155461240636</x:v>
      </x:c>
      <x:c r="C79" t="n">
        <x:v>-13.01149214960816</x:v>
      </x:c>
      <x:c r="D79" t="n">
        <x:v>-1.1303816343945456</x:v>
      </x:c>
      <x:c r="E79" t="n">
        <x:v>70.69916921431756</x:v>
      </x:c>
      <x:c r="F79" t="n">
        <x:v>52.68503187150746</x:v>
      </x:c>
      <x:c r="G79" t="n">
        <x:v>-15.107332505308323</x:v>
      </x:c>
      <x:c r="H79" t="n">
        <x:v>-4.216864159129755</x:v>
      </x:c>
    </x:row>
    <x:row r="80">
      <x:c r="A80" t="n">
        <x:v>2104</x:v>
      </x:c>
      <x:c r="B80" t="n">
        <x:v>325.9418025551565</x:v>
      </x:c>
      <x:c r="C80" t="n">
        <x:v>-13.008931469750188</x:v>
      </x:c>
      <x:c r="D80" t="n">
        <x:v>-1.1486881678113634</x:v>
      </x:c>
      <x:c r="E80" t="n">
        <x:v>69.92765152644182</x:v>
      </x:c>
      <x:c r="F80" t="n">
        <x:v>51.75732009468029</x:v>
      </x:c>
      <x:c r="G80" t="n">
        <x:v>-15.688519219003359</x:v>
      </x:c>
      <x:c r="H80" t="n">
        <x:v>-4.216005577521407</x:v>
      </x:c>
    </x:row>
    <x:row r="81">
      <x:c r="A81" t="n">
        <x:v>2105</x:v>
      </x:c>
      <x:c r="B81" t="n">
        <x:v>324.8767869464792</x:v>
      </x:c>
      <x:c r="C81" t="n">
        <x:v>-13.006395083949196</x:v>
      </x:c>
      <x:c r="D81" t="n">
        <x:v>-1.1665492132283424</x:v>
      </x:c>
      <x:c r="E81" t="n">
        <x:v>69.15628426341175</x:v>
      </x:c>
      <x:c r="F81" t="n">
        <x:v>50.832112415179374</x:v>
      </x:c>
      <x:c r="G81" t="n">
        <x:v>-16.253823279521647</x:v>
      </x:c>
      <x:c r="H81" t="n">
        <x:v>-4.2151547116940815</x:v>
      </x:c>
    </x:row>
    <x:row r="82">
      <x:c r="A82" t="n">
        <x:v>2106</x:v>
      </x:c>
      <x:c r="B82" t="n">
        <x:v>323.8202920440145</x:v>
      </x:c>
      <x:c r="C82" t="n">
        <x:v>-13.00388331746222</x:v>
      </x:c>
      <x:c r="D82" t="n">
        <x:v>-1.1839767462986726</x:v>
      </x:c>
      <x:c r="E82" t="n">
        <x:v>68.3850659651354</x:v>
      </x:c>
      <x:c r="F82" t="n">
        <x:v>49.90940098871186</x:v>
      </x:c>
      <x:c r="G82" t="n">
        <x:v>-16.80367532952222</x:v>
      </x:c>
      <x:c r="H82" t="n">
        <x:v>-4.214311614882284</x:v>
      </x:c>
    </x:row>
    <x:row r="83">
      <x:c r="A83" t="n">
        <x:v>2107</x:v>
      </x:c>
      <x:c r="B83" t="n">
        <x:v>322.77211603095515</x:v>
      </x:c>
      <x:c r="C83" t="n">
        <x:v>-13.00139660063846</x:v>
      </x:c>
      <x:c r="D83" t="n">
        <x:v>-1.2009824236290831</x:v>
      </x:c>
      <x:c r="E83" t="n">
        <x:v>67.61399514599819</x:v>
      </x:c>
      <x:c r="F83" t="n">
        <x:v>48.989177964572654</x:v>
      </x:c>
      <x:c r="G83" t="n">
        <x:v>-17.338494418676287</x:v>
      </x:c>
      <x:c r="H83" t="n">
        <x:v>-4.2134763581767665</x:v>
      </x:c>
    </x:row>
    <x:row r="84">
      <x:c r="A84" t="n">
        <x:v>2108</x:v>
      </x:c>
      <x:c r="B84" t="n">
        <x:v>321.73206237291816</x:v>
      </x:c>
      <x:c r="C84" t="n">
        <x:v>-12.998935437299732</x:v>
      </x:c>
      <x:c r="D84" t="n">
        <x:v>-1.2175775925781869</x:v>
      </x:c>
      <x:c r="E84" t="n">
        <x:v>66.8430702905055</x:v>
      </x:c>
      <x:c r="F84" t="n">
        <x:v>48.07143548117458</x:v>
      </x:c>
      <x:c r="G84" t="n">
        <x:v>-17.858688322219486</x:v>
      </x:c>
      <x:c r="H84" t="n">
        <x:v>-4.212649031755334</x:v>
      </x:c>
    </x:row>
    <x:row r="85">
      <x:c r="A85" t="n">
        <x:v>2109</x:v>
      </x:c>
      <x:c r="B85" t="n">
        <x:v>320.69993967024834</x:v>
      </x:c>
      <x:c r="C85" t="n">
        <x:v>-12.996500381270522</x:v>
      </x:c>
      <x:c r="D85" t="n">
        <x:v>-1.233773300122738</x:v>
      </x:c>
      <x:c r="E85" t="n">
        <x:v>66.07228985031715</x:v>
      </x:c>
      <x:c r="F85" t="n">
        <x:v>47.156165663022875</x:v>
      </x:c>
      <x:c r="G85" t="n">
        <x:v>-18.36465384912009</x:v>
      </x:c>
      <x:c r="H85" t="n">
        <x:v>-4.21182974428274</x:v>
      </x:c>
    </x:row>
    <x:row r="86">
      <x:c r="A86" t="n">
        <x:v>2110</x:v>
      </x:c>
      <x:c r="B86" t="n">
        <x:v>319.67556151634096</x:v>
      </x:c>
      <x:c r="C86" t="n">
        <x:v>-12.994092019015763</x:v>
      </x:c>
      <x:c r="D86" t="n">
        <x:v>-1.2495803010602016</x:v>
      </x:c>
      <x:c r="E86" t="n">
        <x:v>65.30165224231166</x:v>
      </x:c>
      <x:c r="F86" t="n">
        <x:v>46.24336061875744</x:v>
      </x:c>
      <x:c r="G86" t="n">
        <x:v>-18.856777140607857</x:v>
      </x:c>
      <x:c r="H86" t="n">
        <x:v>-4.2110186212693135</x:v>
      </x:c>
    </x:row>
    <x:row r="87">
      <x:c r="A87" t="n">
        <x:v>2111</x:v>
      </x:c>
      <x:c r="B87" t="n">
        <x:v>318.65874636119025</x:v>
      </x:c>
      <x:c r="C87" t="n">
        <x:v>-12.991710956852339</x:v>
      </x:c>
      <x:c r="D87" t="n">
        <x:v>-1.265009065732544</x:v>
      </x:c>
      <x:c r="E87" t="n">
        <x:v>64.53115584740883</x:v>
      </x:c>
      <x:c r="F87" t="n">
        <x:v>45.33301243998092</x:v>
      </x:c>
      <x:c r="G87" t="n">
        <x:v>-19.3354339596715</x:v>
      </x:c>
      <x:c r="H87" t="n">
        <x:v>-4.210215802911285</x:v>
      </x:c>
    </x:row>
    <x:row r="88">
      <x:c r="A88" t="n">
        <x:v>2112</x:v>
      </x:c>
      <x:c r="B88" t="n">
        <x:v>317.64931737957176</x:v>
      </x:c>
      <x:c r="C88" t="n">
        <x:v>-12.989357811582408</x:v>
      </x:c>
      <x:c r="D88" t="n">
        <x:v>-1.2800697873968048</x:v>
      </x:c>
      <x:c r="E88" t="n">
        <x:v>63.760799009947895</x:v>
      </x:c>
      <x:c r="F88" t="n">
        <x:v>44.425113200661606</x:v>
      </x:c>
      <x:c r="G88" t="n">
        <x:v>-19.800989972028663</x:v>
      </x:c>
      <x:c r="H88" t="n">
        <x:v>-4.209421441749999</x:v>
      </x:c>
    </x:row>
    <x:row r="89">
      <x:c r="A89" t="n">
        <x:v>2113</x:v>
      </x:c>
      <x:c r="B89" t="n">
        <x:v>316.6471023434154</x:v>
      </x:c>
      <x:c r="C89" t="n">
        <x:v>-12.987033203683822</x:v>
      </x:c>
      <x:c r="D89" t="n">
        <x:v>-1.2947723893263912</x:v>
      </x:c>
      <x:c r="E89" t="n">
        <x:v>62.99058003746959</x:v>
      </x:c>
      <x:c r="F89" t="n">
        <x:v>43.51965495695369</x:v>
      </x:c>
      <x:c r="G89" t="n">
        <x:v>-20.253801018993112</x:v>
      </x:c>
      <x:c r="H89" t="n">
        <x:v>-4.208635700359245</x:v>
      </x:c>
    </x:row>
    <x:row r="90">
      <x:c r="A90" t="n">
        <x:v>2114</x:v>
      </x:c>
      <x:c r="B90" t="n">
        <x:v>315.6519334980311</x:v>
      </x:c>
      <x:c r="C90" t="n">
        <x:v>-12.98473775240885</x:v>
      </x:c>
      <x:c r="D90" t="n">
        <x:v>-1.3091265316984622</x:v>
      </x:c>
      <x:c r="E90" t="n">
        <x:v>62.22049720078879</x:v>
      </x:c>
      <x:c r="F90" t="n">
        <x:v>42.616629747317184</x:v>
      </x:c>
      <x:c r="G90" t="n">
        <x:v>-20.69421338260291</x:v>
      </x:c>
      <x:c r="H90" t="n">
        <x:v>-4.207858749182998</x:v>
      </x:c>
    </x:row>
    <x:row r="91">
      <x:c r="A91" t="n">
        <x:v>2115</x:v>
      </x:c>
      <x:c r="B91" t="n">
        <x:v>314.6636474419261</x:v>
      </x:c>
      <x:c r="C91" t="n">
        <x:v>-12.9824720723046</x:v>
      </x:c>
      <x:c r="D91" t="n">
        <x:v>-1.3231416183027398</x:v>
      </x:c>
      <x:c r="E91" t="n">
        <x:v>61.45054873427357</x:v>
      </x:c>
      <x:c r="F91" t="n">
        <x:v>41.71602959285004</x:v>
      </x:c>
      <x:c r="G91" t="n">
        <x:v>-21.122564043326616</x:v>
      </x:c>
      <x:c r="H91" t="n">
        <x:v>-4.207090764587831</x:v>
      </x:c>
    </x:row>
    <x:row r="92">
      <x:c r="A92" t="n">
        <x:v>2116</x:v>
      </x:c>
      <x:c r="B92" t="n">
        <x:v>313.6820850100097</x:v>
      </x:c>
      <x:c r="C92" t="n">
        <x:v>-12.980236770790356</x:v>
      </x:c>
      <x:c r="D92" t="n">
        <x:v>-1.3368268030940027</x:v>
      </x:c>
      <x:c r="E92" t="n">
        <x:v>60.68073283626791</x:v>
      </x:c>
      <x:c r="F92" t="n">
        <x:v>40.81784649776731</x:v>
      </x:c>
      <x:c r="G92" t="n">
        <x:v>-21.53918093062819</x:v>
      </x:c>
      <x:c r="H92" t="n">
        <x:v>-4.20633192715646</x:v>
      </x:c>
    </x:row>
    <x:row r="93">
      <x:c r="A93" t="n">
        <x:v>2117</x:v>
      </x:c>
      <x:c r="B93" t="n">
        <x:v>312.7070911600201</x:v>
      </x:c>
      <x:c r="C93" t="n">
        <x:v>-12.978032446518633</x:v>
      </x:c>
      <x:c r="D93" t="n">
        <x:v>-1.350190996601338</x:v>
      </x:c>
      <x:c r="E93" t="n">
        <x:v>59.911047669611655</x:v>
      </x:c>
      <x:c r="F93" t="n">
        <x:v>39.92207244997917</x:v>
      </x:c>
      <x:c r="G93" t="n">
        <x:v>-21.94438316664304</x:v>
      </x:c>
      <x:c r="H93" t="n">
        <x:v>-4.205582420225042</x:v>
      </x:c>
    </x:row>
    <x:row r="94">
      <x:c r="A94" t="n">
        <x:v>2118</x:v>
      </x:c>
      <x:c r="B94" t="n">
        <x:v>311.7385148620385</x:v>
      </x:c>
      <x:c r="C94" t="n">
        <x:v>-12.975859688315225</x:v>
      </x:c>
      <x:c r="D94" t="n">
        <x:v>-1.3632428722018126</x:v>
      </x:c>
      <x:c r="E94" t="n">
        <x:v>59.141491362223306</x:v>
      </x:c>
      <x:c r="F94" t="n">
        <x:v>39.02869942173221</x:v>
      </x:c>
      <x:c r="G94" t="n">
        <x:v>-22.3384813031951</x:v>
      </x:c>
      <x:c r="H94" t="n">
        <x:v>-4.204842428652567</x:v>
      </x:c>
    </x:row>
    <x:row r="95">
      <x:c r="A95" t="n">
        <x:v>2119</x:v>
      </x:c>
      <x:c r="B95" t="n">
        <x:v>310.77620899097417</x:v>
      </x:c>
      <x:c r="C95" t="n">
        <x:v>-12.973719074545269</x:v>
      </x:c>
      <x:c r="D95" t="n">
        <x:v>-1.3759908722621788</x:v>
      </x:c>
      <x:c r="E95" t="n">
        <x:v>58.37206200772039</x:v>
      </x:c>
      <x:c r="F95" t="n">
        <x:v>38.13771937028784</x:v>
      </x:c>
      <x:c r="G95" t="n">
        <x:v>-22.72177755236723</x:v>
      </x:c>
      <x:c r="H95" t="n">
        <x:v>-4.20411213780282</x:v>
      </x:c>
    </x:row>
    <x:row r="96">
      <x:c r="A96" t="n">
        <x:v>2120</x:v>
      </x:c>
      <x:c r="B96" t="n">
        <x:v>309.82003022192146</x:v>
      </x:c>
      <x:c r="C96" t="n">
        <x:v>-12.971611172790873</x:v>
      </x:c>
      <x:c r="D96" t="n">
        <x:v>-1.3884432141506897</x:v>
      </x:c>
      <x:c r="E96" t="n">
        <x:v>57.60275766605896</x:v>
      </x:c>
      <x:c r="F96" t="n">
        <x:v>37.24912423861857</x:v>
      </x:c>
      <x:c r="G96" t="n">
        <x:v>-23.094566010822536</x:v>
      </x:c>
      <x:c r="H96" t="n">
        <x:v>-4.203391732715764</x:v>
      </x:c>
    </x:row>
    <x:row r="97">
      <x:c r="A97" t="n">
        <x:v>2121</x:v>
      </x:c>
      <x:c r="B97" t="n">
        <x:v>308.86985797916833</x:v>
      </x:c>
      <x:c r="C97" t="n">
        <x:v>-12.969383065882152</x:v>
      </x:c>
      <x:c r="D97" t="n">
        <x:v>-1.4006078961193165</x:v>
      </x:c>
      <x:c r="E97" t="n">
        <x:v>56.8335854662183</x:v>
      </x:c>
      <x:c r="F97" t="n">
        <x:v>36.36291532690333</x:v>
      </x:c>
      <x:c r="G97" t="n">
        <x:v>-23.45712120994081</x:v>
      </x:c>
      <x:c r="H97" t="n">
        <x:v>-4.202671093406388</x:v>
      </x:c>
    </x:row>
    <x:row r="98">
      <x:c r="A98" t="n">
        <x:v>2122</x:v>
      </x:c>
      <x:c r="B98" t="n">
        <x:v>307.92556962127117</x:v>
      </x:c>
      <x:c r="C98" t="n">
        <x:v>-12.967071544401485</x:v>
      </x:c>
      <x:c r="D98" t="n">
        <x:v>-1.4124902280474942</x:v>
      </x:c>
      <x:c r="E98" t="n">
        <x:v>56.064550355247114</x:v>
      </x:c>
      <x:c r="F98" t="n">
        <x:v>35.47909168567233</x:v>
      </x:c>
      <x:c r="G98" t="n">
        <x:v>-23.809713066872735</x:v>
      </x:c>
      <x:c r="H98" t="n">
        <x:v>-4.201944668088064</x:v>
      </x:c>
    </x:row>
    <x:row r="99">
      <x:c r="A99" t="n">
        <x:v>2123</x:v>
      </x:c>
      <x:c r="B99" t="n">
        <x:v>306.9873118199665</x:v>
      </x:c>
      <x:c r="C99" t="n">
        <x:v>-12.962530312171058</x:v>
      </x:c>
      <x:c r="D99" t="n">
        <x:v>-1.4240963480467088</x:v>
      </x:c>
      <x:c r="E99" t="n">
        <x:v>55.295784570084784</x:v>
      </x:c>
      <x:c r="F99" t="n">
        <x:v>34.59778341623189</x:v>
      </x:c>
      <x:c r="G99" t="n">
        <x:v>-24.152441036086486</x:v>
      </x:c>
      <x:c r="H99" t="n">
        <x:v>-4.201063956441281</x:v>
      </x:c>
    </x:row>
    <x:row r="100">
      <x:c r="A100" t="n">
        <x:v>2124</x:v>
      </x:c>
      <x:c r="B100" t="n">
        <x:v>306.05497523037445</x:v>
      </x:c>
      <x:c r="C100" t="n">
        <x:v>-12.957713949592296</x:v>
      </x:c>
      <x:c r="D100" t="n">
        <x:v>-1.4353978237215825</x:v>
      </x:c>
      <x:c r="E100" t="n">
        <x:v>54.52730442782321</x:v>
      </x:c>
      <x:c r="F100" t="n">
        <x:v>33.719000947828704</x:v>
      </x:c>
      <x:c r="G100" t="n">
        <x:v>-24.485550487580856</x:v>
      </x:c>
      <x:c r="H100" t="n">
        <x:v>-4.200042473986024</x:v>
      </x:c>
    </x:row>
    <x:row r="101">
      <x:c r="A101" t="n">
        <x:v>2125</x:v>
      </x:c>
      <x:c r="B101" t="n">
        <x:v>305.1284216975335</x:v>
      </x:c>
      <x:c r="C101" t="n">
        <x:v>-12.952890219381777</x:v>
      </x:c>
      <x:c r="D101" t="n">
        <x:v>-1.4464040548199537</x:v>
      </x:c>
      <x:c r="E101" t="n">
        <x:v>53.75911036541282</x:v>
      </x:c>
      <x:c r="F101" t="n">
        <x:v>32.842738334266166</x:v>
      </x:c>
      <x:c r="G101" t="n">
        <x:v>-24.809300524435105</x:v>
      </x:c>
      <x:c r="H101" t="n">
        <x:v>-4.198908911380213</x:v>
      </x:c>
    </x:row>
    <x:row r="102">
      <x:c r="A102" t="n">
        <x:v>2126</x:v>
      </x:c>
      <x:c r="B102" t="n">
        <x:v>304.20751910620214</x:v>
      </x:c>
      <x:c r="C102" t="n">
        <x:v>-12.948059636911172</x:v>
      </x:c>
      <x:c r="D102" t="n">
        <x:v>-1.457127999483463</x:v>
      </x:c>
      <x:c r="E102" t="n">
        <x:v>52.991202789239026</x:v>
      </x:c>
      <x:c r="F102" t="n">
        <x:v>31.968989612937627</x:v>
      </x:c>
      <x:c r="G102" t="n">
        <x:v>-25.12394329411768</x:v>
      </x:c>
      <x:c r="H102" t="n">
        <x:v>-4.1976860455918255</x:v>
      </x:c>
    </x:row>
    <x:row r="103">
      <x:c r="A103" t="n">
        <x:v>2127</x:v>
      </x:c>
      <x:c r="B103" t="n">
        <x:v>303.292140716403</x:v>
      </x:c>
      <x:c r="C103" t="n">
        <x:v>-12.943222705601352</x:v>
      </x:c>
      <x:c r="D103" t="n">
        <x:v>-1.46758120206451</x:v>
      </x:c>
      <x:c r="E103" t="n">
        <x:v>52.223582075830954</x:v>
      </x:c>
      <x:c r="F103" t="n">
        <x:v>31.097748805597632</x:v>
      </x:c>
      <x:c r="G103" t="n">
        <x:v>-25.42972417535255</x:v>
      </x:c>
      <x:c r="H103" t="n">
        <x:v>-4.196391965152436</x:v>
      </x:c>
    </x:row>
    <x:row r="104">
      <x:c r="A104" t="n">
        <x:v>2128</x:v>
      </x:c>
      <x:c r="B104" t="n">
        <x:v>302.382164620966</x:v>
      </x:c>
      <x:c r="C104" t="n">
        <x:v>-12.938379917167664</x:v>
      </x:c>
      <x:c r="D104" t="n">
        <x:v>-1.4777740521946656</x:v>
      </x:c>
      <x:c r="E104" t="n">
        <x:v>51.4562485725557</x:v>
      </x:c>
      <x:c r="F104" t="n">
        <x:v>30.22900991911623</x:v>
      </x:c>
      <x:c r="G104" t="n">
        <x:v>-25.7268819599595</x:v>
      </x:c>
      <x:c r="H104" t="n">
        <x:v>-4.195041041401518</x:v>
      </x:c>
    </x:row>
    <x:row r="105">
      <x:c r="A105" t="n">
        <x:v>2129</x:v>
      </x:c>
      <x:c r="B105" t="n">
        <x:v>301.47747330020144</x:v>
      </x:c>
      <x:c r="C105" t="n">
        <x:v>-12.933531751860297</x:v>
      </x:c>
      <x:c r="D105" t="n">
        <x:v>-1.487715991055015</x:v>
      </x:c>
      <x:c r="E105" t="n">
        <x:v>50.689202598298266</x:v>
      </x:c>
      <x:c r="F105" t="n">
        <x:v>29.362766946216713</x:v>
      </x:c>
      <x:c r="G105" t="n">
        <x:v>-26.015649029803708</x:v>
      </x:c>
      <x:c r="H105" t="n">
        <x:v>-4.19364469838362</x:v>
      </x:c>
    </x:row>
    <x:row r="106">
      <x:c r="A106" t="n">
        <x:v>2130</x:v>
      </x:c>
      <x:c r="B106" t="n">
        <x:v>300.5779532539783</x:v>
      </x:c>
      <x:c r="C106" t="n">
        <x:v>-12.928678678699855</x:v>
      </x:c>
      <x:c r="D106" t="n">
        <x:v>-1.4974156757701942</x:v>
      </x:c>
      <x:c r="E106" t="n">
        <x:v>49.92244444412756</x:v>
      </x:c>
      <x:c r="F106" t="n">
        <x:v>28.499013866197085</x:v>
      </x:c>
      <x:c r="G106" t="n">
        <x:v>-26.29625152898628</x:v>
      </x:c>
      <x:c r="H106" t="n">
        <x:v>-4.192212023142426</x:v>
      </x:c>
    </x:row>
    <x:row r="107">
      <x:c r="A107" t="n">
        <x:v>2131</x:v>
      </x:c>
      <x:c r="B107" t="n">
        <x:v>299.6834946955626</x:v>
      </x:c>
      <x:c r="C107" t="n">
        <x:v>-12.923821155708218</x:v>
      </x:c>
      <x:c r="D107" t="n">
        <x:v>-1.506881110584303</x:v>
      </x:c>
      <x:c r="E107" t="n">
        <x:v>49.15597437394868</x:v>
      </x:c>
      <x:c r="F107" t="n">
        <x:v>27.637744645635628</x:v>
      </x:c>
      <x:c r="G107" t="n">
        <x:v>-26.568909531403822</x:v>
      </x:c>
      <x:c r="H107" t="n">
        <x:v>-4.190750249501067</x:v>
      </x:c>
    </x:row>
    <x:row r="108">
      <x:c r="A108" t="n">
        <x:v>2132</x:v>
      </x:c>
      <x:c r="B108" t="n">
        <x:v>298.79399129480123</x:v>
      </x:c>
      <x:c r="C108" t="n">
        <x:v>-12.918959630134793</x:v>
      </x:c>
      <x:c r="D108" t="n">
        <x:v>-1.5161197516823184</x:v>
      </x:c>
      <x:c r="E108" t="n">
        <x:v>48.38979262514183</x:v>
      </x:c>
      <x:c r="F108" t="n">
        <x:v>26.778953239080852</x:v>
      </x:c>
      <x:c r="G108" t="n">
        <x:v>-26.833837203801796</x:v>
      </x:c>
      <x:c r="H108" t="n">
        <x:v>-4.189265141557872</x:v>
      </x:c>
    </x:row>
    <x:row r="109">
      <x:c r="A109" t="n">
        <x:v>2133</x:v>
      </x:c>
      <x:c r="B109" t="n">
        <x:v>297.90933996080196</x:v>
      </x:c>
      <x:c r="C109" t="n">
        <x:v>-12.91409453867824</x:v>
      </x:c>
      <x:c r="D109" t="n">
        <x:v>-1.5251385910984538</x:v>
      </x:c>
      <x:c r="E109" t="n">
        <x:v>47.62389940918801</x:v>
      </x:c>
      <x:c r="F109" t="n">
        <x:v>25.922633589726164</x:v>
      </x:c>
      <x:c r="G109" t="n">
        <x:v>-27.091242964442856</x:v>
      </x:c>
      <x:c r="H109" t="n">
        <x:v>-4.187761297688729</x:v>
      </x:c>
    </x:row>
    <x:row r="110">
      <x:c r="A110" t="n">
        <x:v>2134</x:v>
      </x:c>
      <x:c r="B110" t="n">
        <x:v>297.0294406562913</x:v>
      </x:c>
      <x:c r="C110" t="n">
        <x:v>-12.909226307703758</x:v>
      </x:c>
      <x:c r="D110" t="n">
        <x:v>-1.5339442240251828</x:v>
      </x:c>
      <x:c r="E110" t="n">
        <x:v>46.85829491228189</x:v>
      </x:c>
      <x:c r="F110" t="n">
        <x:v>25.068779630069564</x:v>
      </x:c>
      <x:c r="G110" t="n">
        <x:v>-27.34132963750831</x:v>
      </x:c>
      <x:c r="H110" t="n">
        <x:v>-4.186242391536746</x:v>
      </x:c>
    </x:row>
    <x:row r="111">
      <x:c r="A111" t="n">
        <x:v>2135</x:v>
      </x:c>
      <x:c r="B111" t="n">
        <x:v>296.15419623744236</x:v>
      </x:c>
      <x:c r="C111" t="n">
        <x:v>-12.904355353456051</x:v>
      </x:c>
      <x:c r="D111" t="n">
        <x:v>-1.5425429029430013</x:v>
      </x:c>
      <x:c r="E111" t="n">
        <x:v>46.092979295932004</x:v>
      </x:c>
      <x:c r="F111" t="n">
        <x:v>24.217385282558663</x:v>
      </x:c>
      <x:c r="G111" t="n">
        <x:v>-27.584294603347498</x:v>
      </x:c>
      <x:c r="H111" t="n">
        <x:v>-4.18471136305302</x:v>
      </x:c>
    </x:row>
    <x:row r="112">
      <x:c r="A112" t="n">
        <x:v>2136</x:v>
      </x:c>
      <x:c r="B112" t="n">
        <x:v>295.2835123142436</x:v>
      </x:c>
      <x:c r="C112" t="n">
        <x:v>-12.899482082268003</x:v>
      </x:c>
      <x:c r="D112" t="n">
        <x:v>-1.5509405812824735</x:v>
      </x:c>
      <x:c r="E112" t="n">
        <x:v>45.32795269754859</x:v>
      </x:c>
      <x:c r="F112" t="n">
        <x:v>23.36844446022133</x:v>
      </x:c>
      <x:c r="G112" t="n">
        <x:v>-27.820329944686893</x:v>
      </x:c>
      <x:c r="H112" t="n">
        <x:v>-4.183170569943881</x:v>
      </x:c>
    </x:row>
    <x:row r="113">
      <x:c r="A113" t="n">
        <x:v>2137</x:v>
      </x:c>
      <x:c r="B113" t="n">
        <x:v>294.4172971274898</x:v>
      </x:c>
      <x:c r="C113" t="n">
        <x:v>-12.894606890765203</x:v>
      </x:c>
      <x:c r="D113" t="n">
        <x:v>-1.559142948768549</x:v>
      </x:c>
      <x:c r="E113" t="n">
        <x:v>44.56321523101931</x:v>
      </x:c>
      <x:c r="F113" t="n">
        <x:v>22.521951067282252</x:v>
      </x:c>
      <x:c r="G113" t="n">
        <x:v>-28.04962258890765</x:v>
      </x:c>
      <x:c r="H113" t="n">
        <x:v>-4.181621907733071</x:v>
      </x:c>
    </x:row>
    <x:row r="114">
      <x:c r="A114" t="n">
        <x:v>2138</x:v>
      </x:c>
      <x:c r="B114" t="n">
        <x:v>293.55546143928206</x:v>
      </x:c>
      <x:c r="C114" t="n">
        <x:v>-12.889730166066377</x:v>
      </x:c>
      <x:c r="D114" t="n">
        <x:v>-1.5671554601518225</x:v>
      </x:c>
      <x:c r="E114" t="n">
        <x:v>43.798766987273076</x:v>
      </x:c>
      <x:c r="F114" t="n">
        <x:v>21.67789899976569</x:v>
      </x:c>
      <x:c r="G114" t="n">
        <x:v>-28.272354446497456</x:v>
      </x:c>
      <x:c r="H114" t="n">
        <x:v>-4.180066904945476</x:v>
      </x:c>
    </x:row>
    <x:row r="115">
      <x:c r="A115" t="n">
        <x:v>2139</x:v>
      </x:c>
      <x:c r="B115" t="n">
        <x:v>292.6979184345583</x:v>
      </x:c>
      <x:c r="C115" t="n">
        <x:v>-12.884852285979788</x:v>
      </x:c>
      <x:c r="D115" t="n">
        <x:v>-1.574983358678681</x:v>
      </x:c>
      <x:c r="E115" t="n">
        <x:v>43.03460803483219</x:v>
      </x:c>
      <x:c r="F115" t="n">
        <x:v>20.836282146084745</x:v>
      </x:c>
      <x:c r="G115" t="n">
        <x:v>-28.48870254577963</x:v>
      </x:c>
      <x:c r="H115" t="n">
        <x:v>-4.178506798570085</x:v>
      </x:c>
    </x:row>
    <x:row r="116">
      <x:c r="A116" t="n">
        <x:v>2140</x:v>
      </x:c>
      <x:c r="B116" t="n">
        <x:v>291.8445836316817</x:v>
      </x:c>
      <x:c r="C116" t="n">
        <x:v>-12.879973619195741</x:v>
      </x:c>
      <x:c r="D116" t="n">
        <x:v>-1.5826316953722896</x:v>
      </x:c>
      <x:c r="E116" t="n">
        <x:v>42.27073842035314</x:v>
      </x:c>
      <x:c r="F116" t="n">
        <x:v>19.997094387617317</x:v>
      </x:c>
      <x:c r="G116" t="n">
        <x:v>-28.6988391640197</x:v>
      </x:c>
      <x:c r="H116" t="n">
        <x:v>-4.176942593890507</x:v>
      </x:c>
    </x:row>
    <x:row r="117">
      <x:c r="A117" t="n">
        <x:v>2141</x:v>
      </x:c>
      <x:c r="B117" t="n">
        <x:v>290.9953748005156</x:v>
      </x:c>
      <x:c r="C117" t="n">
        <x:v>-12.875094525475212</x:v>
      </x:c>
      <x:c r="D117" t="n">
        <x:v>-1.590105344974928</x:v>
      </x:c>
      <x:c r="E117" t="n">
        <x:v>41.507158169156156</x:v>
      </x:c>
      <x:c r="F117" t="n">
        <x:v>19.160329599269154</x:v>
      </x:c>
      <x:c r="G117" t="n">
        <x:v>-28.902931955006917</x:v>
      </x:c>
      <x:c r="H117" t="n">
        <x:v>-4.175375111923789</x:v>
      </x:c>
    </x:row>
    <x:row r="118">
      <x:c r="A118" t="n">
        <x:v>2142</x:v>
      </x:c>
      <x:c r="B118" t="n">
        <x:v>290.1502118867291</x:v>
      </x:c>
      <x:c r="C118" t="n">
        <x:v>-12.870215355834702</x:v>
      </x:c>
      <x:c r="D118" t="n">
        <x:v>-1.5974090192260002</x:v>
      </x:c>
      <x:c r="E118" t="n">
        <x:v>40.7438672857438</x:v>
      </x:c>
      <x:c r="F118" t="n">
        <x:v>18.325981650024165</x:v>
      </x:c>
      <x:c r="G118" t="n">
        <x:v>-29.101144073205653</x:v>
      </x:c>
      <x:c r="H118" t="n">
        <x:v>-4.173805027036397</x:v>
      </x:c>
    </x:row>
    <x:row r="119">
      <x:c r="A119" t="n">
        <x:v>2143</x:v>
      </x:c>
      <x:c r="B119" t="n">
        <x:v>289.30901694133235</x:v>
      </x:c>
      <x:c r="C119" t="n">
        <x:v>-12.865336452727398</x:v>
      </x:c>
      <x:c r="D119" t="n">
        <x:v>-1.6045472780109815</x:v>
      </x:c>
      <x:c r="E119" t="n">
        <x:v>39.980865754308844</x:v>
      </x:c>
      <x:c r="F119" t="n">
        <x:v>17.494044403482246</x:v>
      </x:c>
      <x:c r="G119" t="n">
        <x:v>-29.29363429456893</x:v>
      </x:c>
      <x:c r="H119" t="n">
        <x:v>-4.172232896773616</x:v>
      </x:c>
    </x:row>
    <x:row r="120">
      <x:c r="A120" t="n">
        <x:v>2144</x:v>
      </x:c>
      <x:c r="B120" t="n">
        <x:v>288.47171405463786</x:v>
      </x:c>
      <x:c r="C120" t="n">
        <x:v>-12.860458150220712</x:v>
      </x:c>
      <x:c r="D120" t="n">
        <x:v>-1.6115245388059787</x:v>
      </x:c>
      <x:c r="E120" t="n">
        <x:v>39.218153539231615</x:v>
      </x:c>
      <x:c r="F120" t="n">
        <x:v>16.66451171838496</x:v>
      </x:c>
      <x:c r="G120" t="n">
        <x:v>-29.48055713410393</x:v>
      </x:c>
      <x:c r="H120" t="n">
        <x:v>-4.1706591855165005</x:v>
      </x:c>
    </x:row>
    <x:row r="121">
      <x:c r="A121" t="n">
        <x:v>2145</x:v>
      </x:c>
      <x:c r="B121" t="n">
        <x:v>287.6382292940054</x:v>
      </x:c>
      <x:c r="C121" t="n">
        <x:v>-12.855580774170248</x:v>
      </x:c>
      <x:c r="D121" t="n">
        <x:v>-1.6183450847548588</x:v>
      </x:c>
      <x:c r="E121" t="n">
        <x:v>38.45573058556699</x:v>
      </x:c>
      <x:c r="F121" t="n">
        <x:v>15.837377449129228</x:v>
      </x:c>
      <x:c r="G121" t="n">
        <x:v>-29.662062960276955</x:v>
      </x:c>
      <x:c r="H121" t="n">
        <x:v>-4.169084283245812</x:v>
      </x:c>
    </x:row>
    <x:row r="122">
      <x:c r="A122" t="n">
        <x:v>2146</x:v>
      </x:c>
      <x:c r="B122" t="n">
        <x:v>286.80849064485193</x:v>
      </x:c>
      <x:c r="C122" t="n">
        <x:v>-12.850704642390298</x:v>
      </x:c>
      <x:c r="D122" t="n">
        <x:v>-1.6250130716466935</x:v>
      </x:c>
      <x:c r="E122" t="n">
        <x:v>37.6935968195213</x:v>
      </x:c>
      <x:c r="F122" t="n">
        <x:v>15.012635446269302</x:v>
      </x:c>
      <x:c r="G122" t="n">
        <x:v>-29.83829810634282</x:v>
      </x:c>
      <x:c r="H122" t="n">
        <x:v>-4.1675085204271864</x:v>
      </x:c>
    </x:row>
    <x:row r="123">
      <x:c r="A123" t="n">
        <x:v>2147</x:v>
      </x:c>
      <x:c r="B123" t="n">
        <x:v>285.98242795450955</x:v>
      </x:c>
      <x:c r="C123" t="n">
        <x:v>-12.84583006482092</x:v>
      </x:c>
      <x:c r="D123" t="n">
        <x:v>-1.631532534006018</x:v>
      </x:c>
      <x:c r="E123" t="n">
        <x:v>36.93175214891934</x:v>
      </x:c>
      <x:c r="F123" t="n">
        <x:v>14.190279557007296</x:v>
      </x:c>
      <x:c r="G123" t="n">
        <x:v>-30.009404978681474</x:v>
      </x:c>
      <x:c r="H123" t="n">
        <x:v>-4.165932179821438</x:v>
      </x:c>
    </x:row>
    <x:row r="124">
      <x:c r="A124" t="n">
        <x:v>2148</x:v>
      </x:c>
      <x:c r="B124" t="n">
        <x:v>285.1599728785937</x:v>
      </x:c>
      <x:c r="C124" t="n">
        <x:v>-12.840957343691663</x:v>
      </x:c>
      <x:c r="D124" t="n">
        <x:v>-1.6379073904648562</x:v>
      </x:c>
      <x:c r="E124" t="n">
        <x:v>36.17019646366164</x:v>
      </x:c>
      <x:c r="F124" t="n">
        <x:v>13.370303625672458</x:v>
      </x:c>
      <x:c r="G124" t="n">
        <x:v>-30.175522162222425</x:v>
      </x:c>
      <x:c r="H124" t="n">
        <x:v>-4.1643555058572925</x:v>
      </x:c>
    </x:row>
    <x:row r="125">
      <x:c r="A125" t="n">
        <x:v>2149</x:v>
      </x:c>
      <x:c r="B125" t="n">
        <x:v>284.34105882960654</x:v>
      </x:c>
      <x:c r="C125" t="n">
        <x:v>-12.83608677368202</x:v>
      </x:c>
      <x:c r="D125" t="n">
        <x:v>-1.644141448550732</x:v>
      </x:c>
      <x:c r="E125" t="n">
        <x:v>35.40892963617225</x:v>
      </x:c>
      <x:c r="F125" t="n">
        <x:v>12.552701494189431</x:v>
      </x:c>
      <x:c r="G125" t="n">
        <x:v>-30.336784523035284</x:v>
      </x:c>
      <x:c r="H125" t="n">
        <x:v>-4.162778712071683</x:v>
      </x:c>
    </x:row>
    <x:row r="126">
      <x:c r="A126" t="n">
        <x:v>2150</x:v>
      </x:c>
      <x:c r="B126" t="n">
        <x:v>283.52562092755164</x:v>
      </x:c>
      <x:c r="C126" t="n">
        <x:v>-12.831218642078658</x:v>
      </x:c>
      <x:c r="D126" t="n">
        <x:v>-1.6502384089976245</x:v>
      </x:c>
      <x:c r="E126" t="n">
        <x:v>34.647951521837186</x:v>
      </x:c>
      <x:c r="F126" t="n">
        <x:v>11.737467002535743</x:v>
      </x:c>
      <x:c r="G126" t="n">
        <x:v>-30.493323308162715</x:v>
      </x:c>
      <x:c r="H126" t="n">
        <x:v>-4.16120198701805</x:v>
      </x:c>
    </x:row>
    <x:row r="127">
      <x:c r="A127" t="n">
        <x:v>2151</x:v>
      </x:c>
      <x:c r="B127" t="n">
        <x:v>282.7135959523751</x:v>
      </x:c>
      <x:c r="C127" t="n">
        <x:v>-12.8263532289295</x:v>
      </x:c>
      <x:c r="D127" t="n">
        <x:v>-1.6562018696648386</x:v>
      </x:c>
      <x:c r="E127" t="n">
        <x:v>33.8872619594337</x:v>
      </x:c>
      <x:c r="F127" t="n">
        <x:v>10.924593989188708</x:v>
      </x:c>
      <x:c r="G127" t="n">
        <x:v>-30.645266242769992</x:v>
      </x:c>
      <x:c r="H127" t="n">
        <x:v>-4.159625498960043</x:v>
      </x:c>
    </x:row>
    <x:row r="128">
      <x:c r="A128" t="n">
        <x:v>2152</x:v>
      </x:c>
      <x:c r="B128" t="n">
        <x:v>281.9049222980815</x:v>
      </x:c>
      <x:c r="C128" t="n">
        <x:v>-12.821490807194712</x:v>
      </x:c>
      <x:c r="D128" t="n">
        <x:v>-1.6620353291316698</x:v>
      </x:c>
      <x:c r="E128" t="n">
        <x:v>33.126860771550675</x:v>
      </x:c>
      <x:c r="F128" t="n">
        <x:v>10.114076291561997</x:v>
      </x:c>
      <x:c r="G128" t="n">
        <x:v>-30.792737624683372</x:v>
      </x:c>
      <x:c r="H128" t="n">
        <x:v>-4.158049399602242</x:v>
      </x:c>
    </x:row>
    <x:row r="129">
      <x:c r="A129" t="n">
        <x:v>2153</x:v>
      </x:c>
      <x:c r="B129" t="n">
        <x:v>281.09953992839723</x:v>
      </x:c>
      <x:c r="C129" t="n">
        <x:v>-12.81663164289467</x:v>
      </x:c>
      <x:c r="D129" t="n">
        <x:v>-1.6677421900219427</x:v>
      </x:c>
      <x:c r="E129" t="n">
        <x:v>32.36674776500018</x:v>
      </x:c>
      <x:c r="F129" t="n">
        <x:v>9.305907746432057</x:v>
      </x:c>
      <x:c r="G129" t="n">
        <x:v>-30.93585841638754</x:v>
      </x:c>
      <x:c r="H129" t="n">
        <x:v>-4.156473827057335</x:v>
      </x:c>
    </x:row>
    <x:row r="130">
      <x:c r="A130" t="n">
        <x:v>2154</x:v>
      </x:c>
      <x:c r="B130" t="n">
        <x:v>280.5</x:v>
      </x:c>
      <x:c r="C130" t="n">
        <x:v>-11.17955171937924</x:v>
      </x:c>
      <x:c r="D130" t="n">
        <x:v>-1.6733257621016837</x:v>
      </x:c>
      <x:c r="E130" t="n">
        <x:v>31.70372467858612</x:v>
      </x:c>
      <x:c r="F130" t="n">
        <x:v>8.599742403104488</x:v>
      </x:c>
      <x:c r="G130" t="n">
        <x:v>-30.95065360619201</x:v>
      </x:c>
      <x:c r="H130" t="n">
        <x:v>-4.045313475498595</x:v>
      </x:c>
    </x:row>
    <x:row r="131">
      <x:c r="A131" t="n">
        <x:v>2155</x:v>
      </x:c>
      <x:c r="B131" t="n">
        <x:v>279.95318242149614</x:v>
      </x:c>
      <x:c r="C131" t="n">
        <x:v>-10.675669178164556</x:v>
      </x:c>
      <x:c r="D131" t="n">
        <x:v>-1.6524670652656588</x:v>
      </x:c>
      <x:c r="E131" t="n">
        <x:v>31.070585237424776</x:v>
      </x:c>
      <x:c r="F131" t="n">
        <x:v>7.926131289776782</x:v>
      </x:c>
      <x:c r="G131" t="n">
        <x:v>-30.926740823824606</x:v>
      </x:c>
      <x:c r="H131" t="n">
        <x:v>-3.923369422540617</x:v>
      </x:c>
    </x:row>
    <x:row r="132">
      <x:c r="A132" t="n">
        <x:v>2156</x:v>
      </x:c>
      <x:c r="B132" t="n">
        <x:v>279.5</x:v>
      </x:c>
      <x:c r="C132" t="n">
        <x:v>-9.829431039891901</x:v>
      </x:c>
      <x:c r="D132" t="n">
        <x:v>-1.628245233375599</x:v>
      </x:c>
      <x:c r="E132" t="n">
        <x:v>30.48763344567573</x:v>
      </x:c>
      <x:c r="F132" t="n">
        <x:v>7.305895489142415</x:v>
      </x:c>
      <x:c r="G132" t="n">
        <x:v>-30.83913684871644</x:v>
      </x:c>
      <x:c r="H132" t="n">
        <x:v>-3.7698920861017022</x:v>
      </x:c>
    </x:row>
    <x:row r="133">
      <x:c r="A133" t="n">
        <x:v>2157</x:v>
      </x:c>
      <x:c r="B133" t="n">
        <x:v>279.5</x:v>
      </x:c>
      <x:c r="C133" t="n">
        <x:v>-6.054833325461749</x:v>
      </x:c>
      <x:c r="D133" t="n">
        <x:v>-1.5956311824415805</x:v>
      </x:c>
      <x:c r="E133" t="n">
        <x:v>30.12854084697954</x:v>
      </x:c>
      <x:c r="F133" t="n">
        <x:v>6.917699372736924</x:v>
      </x:c>
      <x:c r="G133" t="n">
        <x:v>-30.466927399856992</x:v>
      </x:c>
      <x:c r="H133" t="n">
        <x:v>-3.3948128198594727</x:v>
      </x:c>
    </x:row>
    <x:row r="134">
      <x:c r="A134" t="n">
        <x:v>2158</x:v>
      </x:c>
      <x:c r="B134" t="n">
        <x:v>279.5212719198372</x:v>
      </x:c>
      <x:c r="C134" t="n">
        <x:v>-5.55398433774186</x:v>
      </x:c>
      <x:c r="D134" t="n">
        <x:v>-1.5088026554278517</x:v>
      </x:c>
      <x:c r="E134" t="n">
        <x:v>29.79915198328104</x:v>
      </x:c>
      <x:c r="F134" t="n">
        <x:v>6.56106707507762</x:v>
      </x:c>
      <x:c r="G134" t="n">
        <x:v>-30.066688256190893</x:v>
      </x:c>
      <x:c r="H134" t="n">
        <x:v>-3.0638705163533255</x:v>
      </x:c>
    </x:row>
    <x:row r="135">
      <x:c r="A135" t="n">
        <x:v>2159</x:v>
      </x:c>
      <x:c r="B135" t="n">
        <x:v>279.5676965394457</x:v>
      </x:c>
      <x:c r="C135" t="n">
        <x:v>-5.053420622210677</x:v>
      </x:c>
      <x:c r="D135" t="n">
        <x:v>-1.430288202039029</x:v>
      </x:c>
      <x:c r="E135" t="n">
        <x:v>29.499449936008556</x:v>
      </x:c>
      <x:c r="F135" t="n">
        <x:v>6.235901249444945</x:v>
      </x:c>
      <x:c r="G135" t="n">
        <x:v>-29.639197800669546</x:v>
      </x:c>
      <x:c r="H135" t="n">
        <x:v>-2.7679336315406613</x:v>
      </x:c>
    </x:row>
    <x:row r="136">
      <x:c r="A136" t="n">
        <x:v>2160</x:v>
      </x:c>
      <x:c r="B136" t="n">
        <x:v>279.6422730111338</x:v>
      </x:c>
      <x:c r="C136" t="n">
        <x:v>-4.553141259572625</x:v>
      </x:c>
      <x:c r="D136" t="n">
        <x:v>-1.3582158845635814</x:v>
      </x:c>
      <x:c r="E136" t="n">
        <x:v>29.229417841110866</x:v>
      </x:c>
      <x:c r="F136" t="n">
        <x:v>5.942104851759277</x:v>
      </x:c>
      <x:c r="G136" t="n">
        <x:v>-29.185213332988585</x:v>
      </x:c>
      <x:c r="H136" t="n">
        <x:v>-2.4997637572444606</x:v>
      </x:c>
    </x:row>
    <x:row r="137">
      <x:c r="A137" t="n">
        <x:v>2161</x:v>
      </x:c>
      <x:c r="B137" t="n">
        <x:v>279.7473034684375</x:v>
      </x:c>
      <x:c r="C137" t="n">
        <x:v>-4.053145330186406</x:v>
      </x:c>
      <x:c r="D137" t="n">
        <x:v>-1.2911056897946633</x:v>
      </x:c>
      <x:c r="E137" t="n">
        <x:v>28.989038889077705</x:v>
      </x:c>
      <x:c r="F137" t="n">
        <x:v>5.679581139835672</x:v>
      </x:c>
      <x:c r="G137" t="n">
        <x:v>-28.705471638728906</x:v>
      </x:c>
      <x:c r="H137" t="n">
        <x:v>-2.2536231266917013</x:v>
      </x:c>
    </x:row>
    <x:row r="138">
      <x:c r="A138" t="n">
        <x:v>2162</x:v>
      </x:c>
      <x:c r="B138" t="n">
        <x:v>279.88453931251394</x:v>
      </x:c>
      <x:c r="C138" t="n">
        <x:v>-3.5534319141608957</x:v>
      </x:c>
      <x:c r="D138" t="n">
        <x:v>-1.2277881704730427</x:v>
      </x:c>
      <x:c r="E138" t="n">
        <x:v>28.77829632495457</x:v>
      </x:c>
      <x:c r="F138" t="n">
        <x:v>5.448233672634634</x:v>
      </x:c>
      <x:c r="G138" t="n">
        <x:v>-28.200689543140367</x:v>
      </x:c>
      <x:c r="H138" t="n">
        <x:v>-2.024963493981792</x:v>
      </x:c>
    </x:row>
    <x:row r="139">
      <x:c r="A139" t="n">
        <x:v>2163</x:v>
      </x:c>
      <x:c r="B139" t="n">
        <x:v>280</x:v>
      </x:c>
      <x:c r="C139" t="n">
        <x:v>-3.499473930845088</x:v>
      </x:c>
      <x:c r="D139" t="n">
        <x:v>-1.1673399571674312</x:v>
      </x:c>
      <x:c r="E139" t="n">
        <x:v>28.570753834459854</x:v>
      </x:c>
      <x:c r="F139" t="n">
        <x:v>5.220766605237468</x:v>
      </x:c>
      <x:c r="G139" t="n">
        <x:v>-27.705432384040442</x:v>
      </x:c>
      <x:c r="H139" t="n">
        <x:v>-1.8400880556568817</x:v>
      </x:c>
    </x:row>
    <x:row r="140">
      <x:c r="A140" t="n">
        <x:v>2164</x:v>
      </x:c>
      <x:c r="B140" t="n">
        <x:v>280.0292419395824</x:v>
      </x:c>
      <x:c r="C140" t="n">
        <x:v>-4.0000582255574715</x:v>
      </x:c>
      <x:c r="D140" t="n">
        <x:v>-1.11621661360596</x:v>
      </x:c>
      <x:c r="E140" t="n">
        <x:v>28.333523307054385</x:v>
      </x:c>
      <x:c r="F140" t="n">
        <x:v>4.9633109155275985</x:v>
      </x:c>
      <x:c r="G140" t="n">
        <x:v>-27.261603078952362</x:v>
      </x:c>
      <x:c r="H140" t="n">
        <x:v>-1.727150505896247</x:v>
      </x:c>
    </x:row>
    <x:row r="141">
      <x:c r="A141" t="n">
        <x:v>2165</x:v>
      </x:c>
      <x:c r="B141" t="n">
        <x:v>280</x:v>
      </x:c>
      <x:c r="C141" t="n">
        <x:v>-4.339361902668242</x:v>
      </x:c>
      <x:c r="D141" t="n">
        <x:v>-1.0814720897512353</x:v>
      </x:c>
      <x:c r="E141" t="n">
        <x:v>28.076169774999308</x:v>
      </x:c>
      <x:c r="F141" t="n">
        <x:v>4.685790001656428</x:v>
      </x:c>
      <x:c r="G141" t="n">
        <x:v>-26.855551629066998</x:v>
      </x:c>
      <x:c r="H141" t="n">
        <x:v>-1.6604081475887347</x:v>
      </x:c>
    </x:row>
    <x:row r="142">
      <x:c r="A142" t="n">
        <x:v>2166</x:v>
      </x:c>
      <x:c r="B142" t="n">
        <x:v>280</x:v>
      </x:c>
      <x:c r="C142" t="n">
        <x:v>-4.01235161084721</x:v>
      </x:c>
      <x:c r="D142" t="n">
        <x:v>-1.0573756536393633</x:v>
      </x:c>
      <x:c r="E142" t="n">
        <x:v>27.838210166637655</x:v>
      </x:c>
      <x:c r="F142" t="n">
        <x:v>4.428938416849094</x:v>
      </x:c>
      <x:c r="G142" t="n">
        <x:v>-26.43560048241039</x:v>
      </x:c>
      <x:c r="H142" t="n">
        <x:v>-1.585548101076358</x:v>
      </x:c>
    </x:row>
    <x:row r="143">
      <x:c r="A143" t="n">
        <x:v>2167</x:v>
      </x:c>
      <x:c r="B143" t="n">
        <x:v>280</x:v>
      </x:c>
      <x:c r="C143" t="n">
        <x:v>-3.9129056288570814</x:v>
      </x:c>
      <x:c r="D143" t="n">
        <x:v>-1.0311686383009409</x:v>
      </x:c>
      <x:c r="E143" t="n">
        <x:v>27.606148378114007</x:v>
      </x:c>
      <x:c r="F143" t="n">
        <x:v>4.178809217950365</x:v>
      </x:c>
      <x:c r="G143" t="n">
        <x:v>-26.0194258555457</x:v>
      </x:c>
      <x:c r="H143" t="n">
        <x:v>-1.5195317405186741</x:v>
      </x:c>
    </x:row>
    <x:row r="144">
      <x:c r="A144" t="n">
        <x:v>2168</x:v>
      </x:c>
      <x:c r="B144" t="n">
        <x:v>280</x:v>
      </x:c>
      <x:c r="C144" t="n">
        <x:v>-3.8207394436750954</x:v>
      </x:c>
      <x:c r="D144" t="n">
        <x:v>-1.0068800689649988</x:v>
      </x:c>
      <x:c r="E144" t="n">
        <x:v>27.37955266820391</x:v>
      </x:c>
      <x:c r="F144" t="n">
        <x:v>3.9349408927391236</x:v>
      </x:c>
      <x:c r="G144" t="n">
        <x:v>-25.607479256259797</x:v>
      </x:c>
      <x:c r="H144" t="n">
        <x:v>-1.4610143046832353</x:v>
      </x:c>
    </x:row>
    <x:row r="145">
      <x:c r="A145" t="n">
        <x:v>2169</x:v>
      </x:c>
      <x:c r="B145" t="n">
        <x:v>280</x:v>
      </x:c>
      <x:c r="C145" t="n">
        <x:v>-3.7348457892205738</x:v>
      </x:c>
      <x:c r="D145" t="n">
        <x:v>-0.9842445006422229</x:v>
      </x:c>
      <x:c r="E145" t="n">
        <x:v>27.15805103337923</x:v>
      </x:c>
      <x:c r="F145" t="n">
        <x:v>3.6969345992426237</x:v>
      </x:c>
      <x:c r="G145" t="n">
        <x:v>-25.200123424175274</x:v>
      </x:c>
      <x:c r="H145" t="n">
        <x:v>-1.408862208446579</x:v>
      </x:c>
    </x:row>
    <x:row r="146">
      <x:c r="A146" t="n">
        <x:v>2170</x:v>
      </x:c>
      <x:c r="B146" t="n">
        <x:v>280</x:v>
      </x:c>
      <x:c r="C146" t="n">
        <x:v>-3.6543738406794457</x:v>
      </x:c>
      <x:c r="D146" t="n">
        <x:v>-0.9630377153350052</x:v>
      </x:c>
      <x:c r="E146" t="n">
        <x:v>26.941321929782166</x:v>
      </x:c>
      <x:c r="F146" t="n">
        <x:v>3.4644444550598217</x:v>
      </x:c>
      <x:c r="G146" t="n">
        <x:v>-24.797646620874712</x:v>
      </x:c>
      <x:c r="H146" t="n">
        <x:v>-1.3621197639672764</x:v>
      </x:c>
    </x:row>
    <x:row r="147">
      <x:c r="A147" t="n">
        <x:v>2171</x:v>
      </x:c>
      <x:c r="B147" t="n">
        <x:v>280</x:v>
      </x:c>
      <x:c r="C147" t="n">
        <x:v>-3.578604590511762</x:v>
      </x:c>
      <x:c r="D147" t="n">
        <x:v>-0.9430702328727942</x:v>
      </x:c>
      <x:c r="E147" t="n">
        <x:v>26.729086455568684</x:v>
      </x:c>
      <x:c r="F147" t="n">
        <x:v>3.237169354764581</x:v>
      </x:c>
      <x:c r="G147" t="n">
        <x:v>-24.40027466216379</x:v>
      </x:c>
      <x:c r="H147" t="n">
        <x:v>-1.3199811481694756</x:v>
      </x:c>
    </x:row>
    <x:row r="148">
      <x:c r="A148" t="n">
        <x:v>2172</x:v>
      </x:c>
      <x:c r="B148" t="n">
        <x:v>280</x:v>
      </x:c>
      <x:c r="C148" t="n">
        <x:v>-3.506930105867984</x:v>
      </x:c>
      <x:c r="D148" t="n">
        <x:v>-0.9241818446157442</x:v>
      </x:c>
      <x:c r="E148" t="n">
        <x:v>26.521101763427552</x:v>
      </x:c>
      <x:c r="F148" t="n">
        <x:v>3.0148460745284775</x:v>
      </x:c>
      <x:c r="G148" t="n">
        <x:v>-24.008181048517763</x:v>
      </x:c>
      <x:c r="H148" t="n">
        <x:v>-1.281766789438266</x:v>
      </x:c>
    </x:row>
    <x:row r="149">
      <x:c r="A149" t="n">
        <x:v>2173</x:v>
      </x:c>
      <x:c r="B149" t="n">
        <x:v>280</x:v>
      </x:c>
      <x:c r="C149" t="n">
        <x:v>-3.4388360555051367</x:v>
      </x:c>
      <x:c r="D149" t="n">
        <x:v>-0.9062370087701721</x:v>
      </x:c>
      <x:c r="E149" t="n">
        <x:v>26.31715550937153</x:v>
      </x:c>
      <x:c r="F149" t="n">
        <x:v>2.797243461074754</x:v>
      </x:c>
      <x:c r="G149" t="n">
        <x:v>-23.621495493622607</x:v>
      </x:c>
      <x:c r="H149" t="n">
        <x:v>-1.246903476823677</x:v>
      </x:c>
    </x:row>
    <x:row r="150">
      <x:c r="A150" t="n">
        <x:v>2174</x:v>
      </x:c>
      <x:c r="B150" t="n">
        <x:v>280</x:v>
      </x:c>
      <x:c r="C150" t="n">
        <x:v>-3.37388699076358</x:v>
      </x:c>
      <x:c r="D150" t="n">
        <x:v>-0.8891209714820373</x:v>
      </x:c>
      <x:c r="E150" t="n">
        <x:v>26.117061174466258</x:v>
      </x:c>
      <x:c r="F150" t="n">
        <x:v>2.584157534060386</x:v>
      </x:c>
      <x:c r="G150" t="n">
        <x:v>-23.24031110363845</x:v>
      </x:c>
      <x:c r="H150" t="n">
        <x:v>-1.2149076048881935</x:v>
      </x:c>
    </x:row>
    <x:row r="151">
      <x:c r="A151" t="n">
        <x:v>2175</x:v>
      </x:c>
      <x:c r="B151" t="n">
        <x:v>280</x:v>
      </x:c>
      <x:c r="C151" t="n">
        <x:v>-3.311713946426148</x:v>
      </x:c>
      <x:c r="D151" t="n">
        <x:v>-0.8727364992893939</x:v>
      </x:c>
      <x:c r="E151" t="n">
        <x:v>25.920654121912108</x:v>
      </x:c>
      <x:c r="F151" t="n">
        <x:v>2.3754073579260155</x:v>
      </x:c>
      <x:c r="G151" t="n">
        <x:v>-22.864690419983788</x:v>
      </x:c>
      <x:c r="H151" t="n">
        <x:v>-1.1853710598543348</x:v>
      </x:c>
    </x:row>
    <x:row r="152">
      <x:c r="A152" t="n">
        <x:v>2176</x:v>
      </x:c>
      <x:c r="B152" t="n">
        <x:v>280</x:v>
      </x:c>
      <x:c r="C152" t="n">
        <x:v>-3.2520039957312608</x:v>
      </x:c>
      <x:c r="D152" t="n">
        <x:v>-0.8570011265533403</x:v>
      </x:c>
      <x:c r="E152" t="n">
        <x:v>25.727788273584487</x:v>
      </x:c>
      <x:c r="F152" t="n">
        <x:v>2.1708315619486673</x:v>
      </x:c>
      <x:c r="G152" t="n">
        <x:v>-22.49467050488908</x:v>
      </x:c>
      <x:c r="H152" t="n">
        <x:v>-1.1579493306440742</x:v>
      </x:c>
    </x:row>
    <x:row r="153">
      <x:c r="A153" t="n">
        <x:v>2177</x:v>
      </x:c>
      <x:c r="B153" t="n">
        <x:v>280</x:v>
      </x:c>
      <x:c r="C153" t="n">
        <x:v>-3.194491451469816</x:v>
      </x:c>
      <x:c r="D153" t="n">
        <x:v>-0.8418448366817083</x:v>
      </x:c>
      <x:c r="E153" t="n">
        <x:v>25.538333308408617</x:v>
      </x:c>
      <x:c r="F153" t="n">
        <x:v>1.970285406349375</x:v>
      </x:c>
      <x:c r="G153" t="n">
        <x:v>-22.130267220707704</x:v>
      </x:c>
      <x:c r="H153" t="n">
        <x:v>-1.1323514940502866</x:v>
      </x:c>
    </x:row>
    <x:row r="154">
      <x:c r="A154" t="n">
        <x:v>2178</x:v>
      </x:c>
      <x:c r="B154" t="n">
        <x:v>280</x:v>
      </x:c>
      <x:c r="C154" t="n">
        <x:v>-3.1389504536644117</x:v>
      </x:c>
      <x:c r="D154" t="n">
        <x:v>-0.8272081087589842</x:v>
      </x:c>
      <x:c r="E154" t="n">
        <x:v>25.352172300335123</x:v>
      </x:c>
      <x:c r="F154" t="n">
        <x:v>1.7736383084111176</x:v>
      </x:c>
      <x:c r="G154" t="n">
        <x:v>-21.771478830167133</x:v>
      </x:c>
      <x:c r="H154" t="n">
        <x:v>-1.1083317785791076</x:v>
      </x:c>
    </x:row>
    <x:row r="155">
      <x:c r="A155" t="n">
        <x:v>2179</x:v>
      </x:c>
      <x:c r="B155" t="n">
        <x:v>280</x:v>
      </x:c>
      <x:c r="C155" t="n">
        <x:v>-3.085188725240446</x:v>
      </x:c>
      <x:c r="D155" t="n">
        <x:v>-0.813040271977336</x:v>
      </x:c>
      <x:c r="E155" t="n">
        <x:v>25.1691997266466</x:v>
      </x:c>
      <x:c r="F155" t="n">
        <x:v>1.5807717561270411</x:v>
      </x:c>
      <x:c r="G155" t="n">
        <x:v>-21.418289024690953</x:v>
      </x:c>
      <x:c r="H155" t="n">
        <x:v>-1.0856824580826883</x:v>
      </x:c>
    </x:row>
    <x:row r="156">
      <x:c r="A156" t="n">
        <x:v>2180</x:v>
      </x:c>
      <x:c r="B156" t="n">
        <x:v>280</x:v>
      </x:c>
      <x:c r="C156" t="n">
        <x:v>-3.033042311560227</x:v>
      </x:c>
      <x:c r="D156" t="n">
        <x:v>-0.799298119345198</x:v>
      </x:c>
      <x:c r="E156" t="n">
        <x:v>24.98931978824539</x:v>
      </x:c>
      <x:c r="F156" t="n">
        <x:v>1.3915775483250021</x:v>
      </x:c>
      <x:c r="G156" t="n">
        <x:v>-21.07066947103158</x:v>
      </x:c>
      <x:c r="H156" t="n">
        <x:v>-1.0642278655388118</x:v>
      </x:c>
    </x:row>
    <x:row r="157">
      <x:c r="A157" t="n">
        <x:v>2181</x:v>
      </x:c>
      <x:c r="B157" t="n">
        <x:v>280</x:v>
      </x:c>
      <x:c r="C157" t="n">
        <x:v>-2.982371148719839</x:v>
      </x:c>
      <x:c r="D157" t="n">
        <x:v>-0.7859447397998514</x:v>
      </x:c>
      <x:c r="E157" t="n">
        <x:v>24.812444992771365</x:v>
      </x:c>
      <x:c r="F157" t="n">
        <x:v>1.205956309839177</x:v>
      </x:c>
      <x:c r="G157" t="n">
        <x:v>-20.728581952225582</x:v>
      </x:c>
      <x:c r="H157" t="n">
        <x:v>-1.0438193503849615</x:v>
      </x:c>
    </x:row>
    <x:row r="158">
      <x:c r="A158" t="n">
        <x:v>2182</x:v>
      </x:c>
      <x:c r="B158" t="n">
        <x:v>280</x:v>
      </x:c>
      <x:c r="C158" t="n">
        <x:v>-2.933055329960465</x:v>
      </x:c>
      <x:c r="D158" t="n">
        <x:v>-0.7729485342942142</x:v>
      </x:c>
      <x:c r="E158" t="n">
        <x:v>24.6384949591468</x:v>
      </x:c>
      <x:c r="F158" t="n">
        <x:v>1.0238162384068223</x:v>
      </x:c>
      <x:c r="G158" t="n">
        <x:v>-20.391980166898726</x:v>
      </x:c>
      <x:c r="H158" t="n">
        <x:v>-1.0243310306548954</x:v>
      </x:c>
    </x:row>
    <x:row r="159">
      <x:c r="A159" t="n">
        <x:v>2183</x:v>
      </x:c>
      <x:c r="B159" t="n">
        <x:v>280</x:v>
      </x:c>
      <x:c r="C159" t="n">
        <x:v>-2.8849919601429654</x:v>
      </x:c>
      <x:c r="D159" t="n">
        <x:v>-0.7602823868560112</x:v>
      </x:c>
      <x:c r="E159" t="n">
        <x:v>24.467395408672164</x:v>
      </x:c>
      <x:c r="F159" t="n">
        <x:v>0.8450720467974795</x:v>
      </x:c>
      <x:c r="G159" t="n">
        <x:v>-20.06081124085256</x:v>
      </x:c>
      <x:c r="H159" t="n">
        <x:v>-1.0056562146170853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30" max="30" width="24" hidden="0" customWidth="1"/>
    <x:col min="31" max="31" width="24" hidden="0" customWidth="1"/>
    <x:col min="32" max="32" width="24" hidden="0" customWidth="1"/>
  </x:cols>
  <x:sheetData>
    <x:row r="1">
      <x:c r="A1" s="20" t="str">
        <x:v>year</x:v>
      </x:c>
      <x:c r="B1" s="20" t="str">
        <x:v>co2_ppm</x:v>
      </x:c>
      <x:c r="C1" s="20" t="str">
        <x:v>gross_emissions_gtco2</x:v>
      </x:c>
      <x:c r="D1" s="20" t="str">
        <x:v>actual_cdr_gtco2</x:v>
      </x:c>
      <x:c r="E1" s="20" t="str">
        <x:v>reversal_gtco2</x:v>
      </x:c>
      <x:c r="F1" s="20" t="str">
        <x:v>permafrost_co2_gtco2</x:v>
      </x:c>
      <x:c r="G1" s="20" t="str">
        <x:v>permafrost_methane_equiv_gtco2e</x:v>
      </x:c>
      <x:c r="H1" s="20" t="str">
        <x:v>stored_carbon_stock_gtco2</x:v>
      </x:c>
      <x:c r="I1" s="20" t="str">
        <x:v>land_binding</x:v>
      </x:c>
      <x:c r="J1" s="20" t="str">
        <x:v>surface_warming_c</x:v>
      </x:c>
      <x:c r="K1" s="20" t="str">
        <x:v>deep_ocean_warming_c</x:v>
      </x:c>
      <x:c r="L1" s="20" t="str">
        <x:v>ch4_ppb</x:v>
      </x:c>
      <x:c r="M1" s="20" t="str">
        <x:v>n2o_ppb</x:v>
      </x:c>
      <x:c r="N1" s="20" t="str">
        <x:v>co2_forcing_w_m2</x:v>
      </x:c>
      <x:c r="O1" s="20" t="str">
        <x:v>nonco2_forcing_w_m2</x:v>
      </x:c>
      <x:c r="P1" s="20" t="str">
        <x:v>permafrost_methane_forcing_proxy_w_m2</x:v>
      </x:c>
      <x:c r="Q1" s="20" t="str">
        <x:v>surface_ocean_ph</x:v>
      </x:c>
      <x:c r="R1" s="20" t="str">
        <x:v>total_alkalinity_umol_kg</x:v>
      </x:c>
      <x:c r="S1" s="20" t="str">
        <x:v>gdp_usd_tn</x:v>
      </x:c>
      <x:c r="T1" s="20" t="str">
        <x:v>avoided_damage_central_usd_tn</x:v>
      </x:c>
      <x:c r="U1" s="20" t="str">
        <x:v>gross_programme_cost_usd_tn</x:v>
      </x:c>
      <x:c r="V1" s="20" t="str">
        <x:v>cumulative_net_benefit_usd_tn</x:v>
      </x:c>
      <x:c r="W1" s="20" t="str">
        <x:v>pv_cumulative_net_benefit_usd_tn</x:v>
      </x:c>
      <x:c r="X1" s="20" t="str">
        <x:v>settlement_receipts_usd_tn</x:v>
      </x:c>
      <x:c r="Y1" s="20" t="str">
        <x:v>public_requirement_usd_tn</x:v>
      </x:c>
      <x:c r="Z1" s="20" t="str">
        <x:v>bridge_debt_stock_usd_tn</x:v>
      </x:c>
      <x:c r="AA1" s="20" t="str">
        <x:v>residual_public_surplus_usd_tn</x:v>
      </x:c>
      <x:c r="AB1" s="20" t="str">
        <x:v>maintenance_reserve_balance_usd_tn</x:v>
      </x:c>
      <x:c r="AC1" s="20" t="str">
        <x:v>social_dividend_usd_tn</x:v>
      </x:c>
      <x:c r="AD1" s="250" t="str">
        <x:v>V59 NOTE — Any ocean pH / climate restoration fields on this inherited V53.1 annual-state sheet use the internal diagnostic trajectory. Current ocean-pH headline is V59_Ocean_pH, driven by archived FaIR p50 CO₂.</x:v>
      </x:c>
      <x:c r="AE1" s="250"/>
      <x:c r="AF1" s="250"/>
    </x:row>
    <x:row r="2">
      <x:c r="A2" t="n">
        <x:v>2026</x:v>
      </x:c>
      <x:c r="B2" t="n">
        <x:v>431.1838326549736</x:v>
      </x:c>
      <x:c r="C2" t="n">
        <x:v>42.2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s="30" t="b">
        <x:v>0</x:v>
      </x:c>
      <x:c r="J2" t="n">
        <x:v>1.4182245413934809</x:v>
      </x:c>
      <x:c r="K2" t="n">
        <x:v>0.32213204849528815</x:v>
      </x:c>
      <x:c r="L2" t="n">
        <x:v>1937.59</x:v>
      </x:c>
      <x:c r="M2" t="n">
        <x:v>339.78</x:v>
      </x:c>
      <x:c r="N2" t="n">
        <x:v>2.3492395292212933</x:v>
      </x:c>
      <x:c r="O2" t="n">
        <x:v>0.6075017207664125</x:v>
      </x:c>
      <x:c r="P2" t="n">
        <x:v>0</x:v>
      </x:c>
      <x:c r="Q2" t="n">
        <x:v>8.048089523467938</x:v>
      </x:c>
      <x:c r="R2" t="n">
        <x:v>2300</x:v>
      </x:c>
      <x:c r="S2" t="n">
        <x:v>126.3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2.70282</x:v>
      </x:c>
      <x:c r="Y2" t="n">
        <x:v>0</x:v>
      </x:c>
      <x:c r="Z2" t="n">
        <x:v>0</x:v>
      </x:c>
      <x:c r="AA2" t="n">
        <x:v>2.70282</x:v>
      </x:c>
      <x:c r="AB2" t="n">
        <x:v>0</x:v>
      </x:c>
      <x:c r="AC2" t="n">
        <x:v>0</x:v>
      </x:c>
      <x:c r="AD2" s="250"/>
      <x:c r="AE2" s="250"/>
      <x:c r="AF2" s="250"/>
    </x:row>
    <x:row r="3">
      <x:c r="A3" t="n">
        <x:v>2027</x:v>
      </x:c>
      <x:c r="B3" t="n">
        <x:v>433.421003981558</x:v>
      </x:c>
      <x:c r="C3" t="n">
        <x:v>41.328315460090884</x:v>
      </x:c>
      <x:c r="D3" t="n">
        <x:v>0.8941176470588236</x:v>
      </x:c>
      <x:c r="E3" t="n">
        <x:v>0</x:v>
      </x:c>
      <x:c r="F3" t="n">
        <x:v>0.034151998707384564</x:v>
      </x:c>
      <x:c r="G3" t="n">
        <x:v>0.005312533132259823</x:v>
      </x:c>
      <x:c r="H3" t="n">
        <x:v>0.8941176470588236</x:v>
      </x:c>
      <x:c r="I3" s="30" t="b">
        <x:v>0</x:v>
      </x:c>
      <x:c r="J3" t="n">
        <x:v>1.4443758765211565</x:v>
      </x:c>
      <x:c r="K3" t="n">
        <x:v>0.32974312632002445</x:v>
      </x:c>
      <x:c r="L3" t="n">
        <x:v>1936.3532686076744</x:v>
      </x:c>
      <x:c r="M3" t="n">
        <x:v>339.77364169226496</x:v>
      </x:c>
      <x:c r="N3" t="n">
        <x:v>2.376938331948627</x:v>
      </x:c>
      <x:c r="O3" t="n">
        <x:v>0.6164991036551564</x:v>
      </x:c>
      <x:c r="P3" t="n">
        <x:v>0.000013149199411732365</x:v>
      </x:c>
      <x:c r="Q3" t="n">
        <x:v>8.046597224070476</x:v>
      </x:c>
      <x:c r="R3" t="n">
        <x:v>2300.041179249587</x:v>
      </x:c>
      <x:c r="S3" t="n">
        <x:v>129.45749999999998</x:v>
      </x:c>
      <x:c r="T3" t="n">
        <x:v>-0.0036974889634992726</x:v>
      </x:c>
      <x:c r="U3" t="n">
        <x:v>2.7752360090067185</x:v>
      </x:c>
      <x:c r="V3" t="n">
        <x:v>-2.778933497970218</x:v>
      </x:c>
      <x:c r="W3" t="n">
        <x:v>-2.7244446058531544</x:v>
      </x:c>
      <x:c r="X3" t="n">
        <x:v>2.7703904999999995</x:v>
      </x:c>
      <x:c r="Y3" t="n">
        <x:v>1.1502360090067187</x:v>
      </x:c>
      <x:c r="Z3" t="n">
        <x:v>0</x:v>
      </x:c>
      <x:c r="AA3" t="n">
        <x:v>1.6201544909932808</x:v>
      </x:c>
      <x:c r="AB3" t="n">
        <x:v>0</x:v>
      </x:c>
      <x:c r="AC3" t="n">
        <x:v>0</x:v>
      </x:c>
      <x:c r="AD3" s="250"/>
      <x:c r="AE3" s="250"/>
      <x:c r="AF3" s="250"/>
    </x:row>
    <x:row r="4">
      <x:c r="A4" t="n">
        <x:v>2028</x:v>
      </x:c>
      <x:c r="B4" t="n">
        <x:v>435.3891190268681</x:v>
      </x:c>
      <x:c r="C4" t="n">
        <x:v>39.940148469724576</x:v>
      </x:c>
      <x:c r="D4" t="n">
        <x:v>1.7882352941176471</x:v>
      </x:c>
      <x:c r="E4" t="n">
        <x:v>0.0006490584554049767</x:v>
      </x:c>
      <x:c r="F4" t="n">
        <x:v>0.06628053845792124</x:v>
      </x:c>
      <x:c r="G4" t="n">
        <x:v>0.010310305982343313</x:v>
      </x:c>
      <x:c r="H4" t="n">
        <x:v>2.6817038827210657</x:v>
      </x:c>
      <x:c r="I4" s="30" t="b">
        <x:v>0</x:v>
      </x:c>
      <x:c r="J4" t="n">
        <x:v>1.4694956121366622</x:v>
      </x:c>
      <x:c r="K4" t="n">
        <x:v>0.33747804939887</x:v>
      </x:c>
      <x:c r="L4" t="n">
        <x:v>1933.6694120951502</x:v>
      </x:c>
      <x:c r="M4" t="n">
        <x:v>339.7607230753645</x:v>
      </x:c>
      <x:c r="N4" t="n">
        <x:v>2.4011879440479964</x:v>
      </x:c>
      <x:c r="O4" t="n">
        <x:v>0.6332286127315397</x:v>
      </x:c>
      <x:c r="P4" t="n">
        <x:v>0.00003760001314012483</x:v>
      </x:c>
      <x:c r="Q4" t="n">
        <x:v>8.04529589201865</x:v>
      </x:c>
      <x:c r="R4" t="n">
        <x:v>2300.12152941306</x:v>
      </x:c>
      <x:c r="S4" t="n">
        <x:v>132.66821784539482</x:v>
      </x:c>
      <x:c r="T4" t="n">
        <x:v>-0.011954841221351048</x:v>
      </x:c>
      <x:c r="U4" t="n">
        <x:v>3.4967887360780407</x:v>
      </x:c>
      <x:c r="V4" t="n">
        <x:v>-6.28767707526961</x:v>
      </x:c>
      <x:c r="W4" t="n">
        <x:v>-6.09693939372262</x:v>
      </x:c>
      <x:c r="X4" t="n">
        <x:v>2.839099861891449</x:v>
      </x:c>
      <x:c r="Y4" t="n">
        <x:v>1.5467887360780408</x:v>
      </x:c>
      <x:c r="Z4" t="n">
        <x:v>0</x:v>
      </x:c>
      <x:c r="AA4" t="n">
        <x:v>1.2923111258134081</x:v>
      </x:c>
      <x:c r="AB4" t="n">
        <x:v>0</x:v>
      </x:c>
      <x:c r="AC4" t="n">
        <x:v>0</x:v>
      </x:c>
    </x:row>
    <x:row r="5">
      <x:c r="A5" t="n">
        <x:v>2029</x:v>
      </x:c>
      <x:c r="B5" t="n">
        <x:v>437.030853932112</x:v>
      </x:c>
      <x:c r="C5" t="n">
        <x:v>37.979914217559205</x:v>
      </x:c>
      <x:c r="D5" t="n">
        <x:v>2.682352941176471</x:v>
      </x:c>
      <x:c r="E5" t="n">
        <x:v>0.0019626276679218448</x:v>
      </x:c>
      <x:c r="F5" t="n">
        <x:v>0.09753069087431283</x:v>
      </x:c>
      <x:c r="G5" t="n">
        <x:v>0.015171440802670888</x:v>
      </x:c>
      <x:c r="H5" t="n">
        <x:v>5.362094196229615</x:v>
      </x:c>
      <x:c r="I5" s="30" t="b">
        <x:v>0</x:v>
      </x:c>
      <x:c r="J5" t="n">
        <x:v>1.4944298873475823</x:v>
      </x:c>
      <x:c r="K5" t="n">
        <x:v>0.3453316961789627</x:v>
      </x:c>
      <x:c r="L5" t="n">
        <x:v>1929.311944136979</x:v>
      </x:c>
      <x:c r="M5" t="n">
        <x:v>339.7409963306308</x:v>
      </x:c>
      <x:c r="N5" t="n">
        <x:v>2.421332439259274</x:v>
      </x:c>
      <x:c r="O5" t="n">
        <x:v>0.6587648737905548</x:v>
      </x:c>
      <x:c r="P5" t="n">
        <x:v>0.00007209579499886523</x:v>
      </x:c>
      <x:c r="Q5" t="n">
        <x:v>8.044221066262795</x:v>
      </x:c>
      <x:c r="R5" t="n">
        <x:v>2300.2391401024065</x:v>
      </x:c>
      <x:c r="S5" t="n">
        <x:v>135.93255732047086</x:v>
      </x:c>
      <x:c r="T5" t="n">
        <x:v>-0.02574074542992329</x:v>
      </x:c>
      <x:c r="U5" t="n">
        <x:v>4.20835785755758</x:v>
      </x:c>
      <x:c r="V5" t="n">
        <x:v>-10.521775678257113</x:v>
      </x:c>
      <x:c r="W5" t="n">
        <x:v>-10.086825073992182</x:v>
      </x:c>
      <x:c r="X5" t="n">
        <x:v>2.9089567266580763</x:v>
      </x:c>
      <x:c r="Y5" t="n">
        <x:v>1.93335785755758</x:v>
      </x:c>
      <x:c r="Z5" t="n">
        <x:v>0</x:v>
      </x:c>
      <x:c r="AA5" t="n">
        <x:v>0.9755988691004962</x:v>
      </x:c>
      <x:c r="AB5" t="n">
        <x:v>0</x:v>
      </x:c>
      <x:c r="AC5" t="n">
        <x:v>0</x:v>
      </x:c>
    </x:row>
    <x:row r="6">
      <x:c r="A6" t="n">
        <x:v>2030</x:v>
      </x:c>
      <x:c r="B6" t="n">
        <x:v>438.287413535362</x:v>
      </x:c>
      <x:c r="C6" t="n">
        <x:v>35.419171111179274</x:v>
      </x:c>
      <x:c r="D6" t="n">
        <x:v>3.5764705882352943</x:v>
      </x:c>
      <x:c r="E6" t="n">
        <x:v>0.003956634126053545</x:v>
      </x:c>
      <x:c r="F6" t="n">
        <x:v>0.12876191794754177</x:v>
      </x:c>
      <x:c r="G6" t="n">
        <x:v>0.02002963168072872</x:v>
      </x:c>
      <x:c r="H6" t="n">
        <x:v>8.934608150338855</x:v>
      </x:c>
      <x:c r="I6" s="30" t="b">
        <x:v>0</x:v>
      </x:c>
      <x:c r="J6" t="n">
        <x:v>1.5198235025486406</x:v>
      </x:c>
      <x:c r="K6" t="n">
        <x:v>0.35330412000015393</x:v>
      </x:c>
      <x:c r="L6" t="n">
        <x:v>1923.056214687942</x:v>
      </x:c>
      <x:c r="M6" t="n">
        <x:v>339.7141891345689</x:v>
      </x:c>
      <x:c r="N6" t="n">
        <x:v>2.4366996782016916</x:v>
      </x:c>
      <x:c r="O6" t="n">
        <x:v>0.6939394625055649</x:v>
      </x:c>
      <x:c r="P6" t="n">
        <x:v>0.00011581286720000356</x:v>
      </x:c>
      <x:c r="Q6" t="n">
        <x:v>8.043409180762891</x:v>
      </x:c>
      <x:c r="R6" t="n">
        <x:v>2300.392194100335</x:v>
      </x:c>
      <x:c r="S6" t="n">
        <x:v>139.25092137633274</x:v>
      </x:c>
      <x:c r="T6" t="n">
        <x:v>-0.04605778653385599</x:v>
      </x:c>
      <x:c r="U6" t="n">
        <x:v>4.914393975916188</x:v>
      </x:c>
      <x:c r="V6" t="n">
        <x:v>-15.482227440707156</x:v>
      </x:c>
      <x:c r="W6" t="n">
        <x:v>-14.669515745756817</x:v>
      </x:c>
      <x:c r="X6" t="n">
        <x:v>2.9799697174535207</x:v>
      </x:c>
      <x:c r="Y6" t="n">
        <x:v>2.314393975916188</x:v>
      </x:c>
      <x:c r="Z6" t="n">
        <x:v>0</x:v>
      </x:c>
      <x:c r="AA6" t="n">
        <x:v>0.6655757415373329</x:v>
      </x:c>
      <x:c r="AB6" t="n">
        <x:v>0</x:v>
      </x:c>
      <x:c r="AC6" t="n">
        <x:v>0</x:v>
      </x:c>
    </x:row>
    <x:row r="7">
      <x:c r="A7" t="n">
        <x:v>2031</x:v>
      </x:c>
      <x:c r="B7" t="n">
        <x:v>439.1343511005494</x:v>
      </x:c>
      <x:c r="C7" t="n">
        <x:v>32.51969680558596</x:v>
      </x:c>
      <x:c r="D7" t="n">
        <x:v>4.470588235294118</x:v>
      </x:c>
      <x:c r="E7" t="n">
        <x:v>0.006647450139046991</x:v>
      </x:c>
      <x:c r="F7" t="n">
        <x:v>0.15996650495020653</x:v>
      </x:c>
      <x:c r="G7" t="n">
        <x:v>0.0248836785478099</x:v>
      </x:c>
      <x:c r="H7" t="n">
        <x:v>13.398548935493926</x:v>
      </x:c>
      <x:c r="I7" s="30" t="b">
        <x:v>0</x:v>
      </x:c>
      <x:c r="J7" t="n">
        <x:v>1.5456702633571706</x:v>
      </x:c>
      <x:c r="K7" t="n">
        <x:v>0.3613976381157827</x:v>
      </x:c>
      <x:c r="L7" t="n">
        <x:v>1914.8563708086492</x:v>
      </x:c>
      <x:c r="M7" t="n">
        <x:v>339.68022530123017</x:v>
      </x:c>
      <x:c r="N7" t="n">
        <x:v>2.4470325626370193</x:v>
      </x:c>
      <x:c r="O7" t="n">
        <x:v>0.7349736003220759</x:v>
      </x:c>
      <x:c r="P7" t="n">
        <x:v>0.0001679914688270041</x:v>
      </x:c>
      <x:c r="Q7" t="n">
        <x:v>8.04287417442765</x:v>
      </x:c>
      <x:c r="R7" t="n">
        <x:v>2300.5789628162897</x:v>
      </x:c>
      <x:c r="S7" t="n">
        <x:v>142.62371224447926</x:v>
      </x:c>
      <x:c r="T7" t="n">
        <x:v>-0.07249735254301694</x:v>
      </x:c>
      <x:c r="U7" t="n">
        <x:v>5.2766903143467285</x:v>
      </x:c>
      <x:c r="V7" t="n">
        <x:v>-20.831415107596904</x:v>
      </x:c>
      <x:c r="W7" t="n">
        <x:v>-19.514439823221064</x:v>
      </x:c>
      <x:c r="X7" t="n">
        <x:v>3.052147442031856</x:v>
      </x:c>
      <x:c r="Y7" t="n">
        <x:v>2.572690314346729</x:v>
      </x:c>
      <x:c r="Z7" t="n">
        <x:v>0</x:v>
      </x:c>
      <x:c r="AA7" t="n">
        <x:v>0.4794571276851274</x:v>
      </x:c>
      <x:c r="AB7" t="n">
        <x:v>0</x:v>
      </x:c>
      <x:c r="AC7" t="n">
        <x:v>0</x:v>
      </x:c>
    </x:row>
    <x:row r="8">
      <x:c r="A8" t="n">
        <x:v>2032</x:v>
      </x:c>
      <x:c r="B8" t="n">
        <x:v>439.5487249553553</x:v>
      </x:c>
      <x:c r="C8" t="n">
        <x:v>29.296982500786772</x:v>
      </x:c>
      <x:c r="D8" t="n">
        <x:v>5.364705882352942</x:v>
      </x:c>
      <x:c r="E8" t="n">
        <x:v>0.010051891036853848</x:v>
      </x:c>
      <x:c r="F8" t="n">
        <x:v>0.19114581970369582</x:v>
      </x:c>
      <x:c r="G8" t="n">
        <x:v>0.029733794176130462</x:v>
      </x:c>
      <x:c r="H8" t="n">
        <x:v>18.753202926810015</x:v>
      </x:c>
      <x:c r="I8" s="30" t="b">
        <x:v>0</x:v>
      </x:c>
      <x:c r="J8" t="n">
        <x:v>1.5719708132295438</x:v>
      </x:c>
      <x:c r="K8" t="n">
        <x:v>0.36961453205935735</x:v>
      </x:c>
      <x:c r="L8" t="n">
        <x:v>1904.6798994484504</x:v>
      </x:c>
      <x:c r="M8" t="n">
        <x:v>339.6390364357629</x:v>
      </x:c>
      <x:c r="N8" t="n">
        <x:v>2.452080785974637</x:v>
      </x:c>
      <x:c r="O8" t="n">
        <x:v>0.78215978644531</x:v>
      </x:c>
      <x:c r="P8" t="n">
        <x:v>0.00022793406725761962</x:v>
      </x:c>
      <x:c r="Q8" t="n">
        <x:v>8.042629557096712</x:v>
      </x:c>
      <x:c r="R8" t="n">
        <x:v>2300.7978019640686</x:v>
      </x:c>
      <x:c r="S8" t="n">
        <x:v>146.0513315524618</x:v>
      </x:c>
      <x:c r="T8" t="n">
        <x:v>-0.10483163960868856</x:v>
      </x:c>
      <x:c r="U8" t="n">
        <x:v>5.636338339909754</x:v>
      </x:c>
      <x:c r="V8" t="n">
        <x:v>-26.572585087115346</x:v>
      </x:c>
      <x:c r="W8" t="n">
        <x:v>-24.612434465299927</x:v>
      </x:c>
      <x:c r="X8" t="n">
        <x:v>3.1254984952226823</x:v>
      </x:c>
      <x:c r="Y8" t="n">
        <x:v>2.8283383399097537</x:v>
      </x:c>
      <x:c r="Z8" t="n">
        <x:v>0</x:v>
      </x:c>
      <x:c r="AA8" t="n">
        <x:v>0.2971601553129286</x:v>
      </x:c>
      <x:c r="AB8" t="n">
        <x:v>0</x:v>
      </x:c>
      <x:c r="AC8" t="n">
        <x:v>0</x:v>
      </x:c>
    </x:row>
    <x:row r="9">
      <x:c r="A9" t="n">
        <x:v>2033</x:v>
      </x:c>
      <x:c r="B9" t="n">
        <x:v>439.5365156544158</x:v>
      </x:c>
      <x:c r="C9" t="n">
        <x:v>25.987790292639133</x:v>
      </x:c>
      <x:c r="D9" t="n">
        <x:v>6.258823529411765</x:v>
      </x:c>
      <x:c r="E9" t="n">
        <x:v>0.014185059198745449</x:v>
      </x:c>
      <x:c r="F9" t="n">
        <x:v>0.221766490387159</x:v>
      </x:c>
      <x:c r="G9" t="n">
        <x:v>0.0344970096157803</x:v>
      </x:c>
      <x:c r="H9" t="n">
        <x:v>24.997841397023034</x:v>
      </x:c>
      <x:c r="I9" s="30" t="b">
        <x:v>0</x:v>
      </x:c>
      <x:c r="J9" t="n">
        <x:v>1.5983163482169032</x:v>
      </x:c>
      <x:c r="K9" t="n">
        <x:v>0.37795571230844627</x:v>
      </x:c>
      <x:c r="L9" t="n">
        <x:v>1892.6415352467975</x:v>
      </x:c>
      <x:c r="M9" t="n">
        <x:v>339.5907299459499</x:v>
      </x:c>
      <x:c r="N9" t="n">
        <x:v>2.451932110869513</x:v>
      </x:c>
      <x:c r="O9" t="n">
        <x:v>0.831992181450724</x:v>
      </x:c>
      <x:c r="P9" t="n">
        <x:v>0.0002947944341221926</x:v>
      </x:c>
      <x:c r="Q9" t="n">
        <x:v>8.042670450038509</x:v>
      </x:c>
      <x:c r="R9" t="n">
        <x:v>2301.047147450256</x:v>
      </x:c>
      <x:c r="S9" t="n">
        <x:v>149.53418044150058</x:v>
      </x:c>
      <x:c r="T9" t="n">
        <x:v>-0.14166940207761822</x:v>
      </x:c>
      <x:c r="U9" t="n">
        <x:v>5.9941179589571965</x:v>
      </x:c>
      <x:c r="V9" t="n">
        <x:v>-32.70837244815016</x:v>
      </x:c>
      <x:c r="W9" t="n">
        <x:v>-29.95400660625939</x:v>
      </x:c>
      <x:c r="X9" t="n">
        <x:v>3.2000314614481122</x:v>
      </x:c>
      <x:c r="Y9" t="n">
        <x:v>3.0821179589571965</x:v>
      </x:c>
      <x:c r="Z9" t="n">
        <x:v>0</x:v>
      </x:c>
      <x:c r="AA9" t="n">
        <x:v>0.1179135024909157</x:v>
      </x:c>
      <x:c r="AB9" t="n">
        <x:v>0</x:v>
      </x:c>
      <x:c r="AC9" t="n">
        <x:v>0</x:v>
      </x:c>
    </x:row>
    <x:row r="10">
      <x:c r="A10" t="n">
        <x:v>2034</x:v>
      </x:c>
      <x:c r="B10" t="n">
        <x:v>439.120667608262</x:v>
      </x:c>
      <x:c r="C10" t="n">
        <x:v>22.746153876516782</x:v>
      </x:c>
      <x:c r="D10" t="n">
        <x:v>7.152941176470589</x:v>
      </x:c>
      <x:c r="E10" t="n">
        <x:v>0.01905866912884745</x:v>
      </x:c>
      <x:c r="F10" t="n">
        <x:v>0.25112140923758713</x:v>
      </x:c>
      <x:c r="G10" t="n">
        <x:v>0.039063330325846884</x:v>
      </x:c>
      <x:c r="H10" t="n">
        <x:v>32.131723904364776</x:v>
      </x:c>
      <x:c r="I10" s="30" t="b">
        <x:v>0</x:v>
      </x:c>
      <x:c r="J10" t="n">
        <x:v>1.624156941639507</x:v>
      </x:c>
      <x:c r="K10" t="n">
        <x:v>0.38641880813743107</x:v>
      </x:c>
      <x:c r="L10" t="n">
        <x:v>1878.9402940166397</x:v>
      </x:c>
      <x:c r="M10" t="n">
        <x:v>339.5355249093728</x:v>
      </x:c>
      <x:c r="N10" t="n">
        <x:v>2.4468657784947574</x:v>
      </x:c>
      <x:c r="O10" t="n">
        <x:v>0.8821272015162536</x:v>
      </x:c>
      <x:c r="P10" t="n">
        <x:v>0.00036752285943535644</x:v>
      </x:c>
      <x:c r="Q10" t="n">
        <x:v>8.042981521563812</x:v>
      </x:c>
      <x:c r="R10" t="n">
        <x:v>2301.325511463171</x:v>
      </x:c>
      <x:c r="S10" t="n">
        <x:v>153.07265968593808</x:v>
      </x:c>
      <x:c r="T10" t="n">
        <x:v>-0.18105006445902938</x:v>
      </x:c>
      <x:c r="U10" t="n">
        <x:v>6.350662014777408</x:v>
      </x:c>
      <x:c r="V10" t="n">
        <x:v>-39.24008452738659</x:v>
      </x:c>
      <x:c r="W10" t="n">
        <x:v>-35.528759973273836</x:v>
      </x:c>
      <x:c r="X10" t="n">
        <x:v>3.2757549172790745</x:v>
      </x:c>
      <x:c r="Y10" t="n">
        <x:v>3.3346620147774084</x:v>
      </x:c>
      <x:c r="Z10" t="n">
        <x:v>0.058907097498333894</x:v>
      </x:c>
      <x:c r="AA10" t="n">
        <x:v>0</x:v>
      </x:c>
      <x:c r="AB10" t="n">
        <x:v>0</x:v>
      </x:c>
      <x:c r="AC10" t="n">
        <x:v>0</x:v>
      </x:c>
    </x:row>
    <x:row r="11">
      <x:c r="A11" t="n">
        <x:v>2035</x:v>
      </x:c>
      <x:c r="B11" t="n">
        <x:v>438.35221074485685</x:v>
      </x:c>
      <x:c r="C11" t="n">
        <x:v>19.822068748208853</x:v>
      </x:c>
      <x:c r="D11" t="n">
        <x:v>8.047058823529412</x:v>
      </x:c>
      <x:c r="E11" t="n">
        <x:v>0.02467699476975621</x:v>
      </x:c>
      <x:c r="F11" t="n">
        <x:v>0.2780872212868776</x:v>
      </x:c>
      <x:c r="G11" t="n">
        <x:v>0.04325801220018095</x:v>
      </x:c>
      <x:c r="H11" t="n">
        <x:v>40.15410573312443</x:v>
      </x:c>
      <x:c r="I11" s="30" t="b">
        <x:v>0</x:v>
      </x:c>
      <x:c r="J11" t="n">
        <x:v>1.648613210770736</x:v>
      </x:c>
      <x:c r="K11" t="n">
        <x:v>0.39499659592008923</x:v>
      </x:c>
      <x:c r="L11" t="n">
        <x:v>1863.9108943158765</x:v>
      </x:c>
      <x:c r="M11" t="n">
        <x:v>339.4738240526226</x:v>
      </x:c>
      <x:c r="N11" t="n">
        <x:v>2.4374909280711248</x:v>
      </x:c>
      <x:c r="O11" t="n">
        <x:v>0.9280165070580496</x:v>
      </x:c>
      <x:c r="P11" t="n">
        <x:v>0.00044472246086172957</x:v>
      </x:c>
      <x:c r="Q11" t="n">
        <x:v>8.043529507289927</x:v>
      </x:c>
      <x:c r="R11" t="n">
        <x:v>2301.631478752565</x:v>
      </x:c>
      <x:c r="S11" t="n">
        <x:v>156.66716981441027</x:v>
      </x:c>
      <x:c r="T11" t="n">
        <x:v>-0.21967526671451532</x:v>
      </x:c>
      <x:c r="U11" t="n">
        <x:v>6.707728697765895</x:v>
      </x:c>
      <x:c r="V11" t="n">
        <x:v>-46.167488491867</x:v>
      </x:c>
      <x:c r="W11" t="n">
        <x:v>-41.32530171937995</x:v>
      </x:c>
      <x:c r="X11" t="n">
        <x:v>3.35267743402838</x:v>
      </x:c>
      <x:c r="Y11" t="n">
        <x:v>3.586550555815929</x:v>
      </x:c>
      <x:c r="Z11" t="n">
        <x:v>0.29395836123584995</x:v>
      </x:c>
      <x:c r="AA11" t="n">
        <x:v>0</x:v>
      </x:c>
      <x:c r="AB11" t="n">
        <x:v>0</x:v>
      </x:c>
      <x:c r="AC11" t="n">
        <x:v>0</x:v>
      </x:c>
    </x:row>
    <x:row r="12">
      <x:c r="A12" t="n">
        <x:v>2036</x:v>
      </x:c>
      <x:c r="B12" t="n">
        <x:v>437.2027573049912</x:v>
      </x:c>
      <x:c r="C12" t="n">
        <x:v>16.608091796167518</x:v>
      </x:c>
      <x:c r="D12" t="n">
        <x:v>8.941176470588236</x:v>
      </x:c>
      <x:c r="E12" t="n">
        <x:v>0.031053971983298193</x:v>
      </x:c>
      <x:c r="F12" t="n">
        <x:v>0.3037128407965679</x:v>
      </x:c>
      <x:c r="G12" t="n">
        <x:v>0.047244219679466105</x:v>
      </x:c>
      <x:c r="H12" t="n">
        <x:v>49.064228231729366</x:v>
      </x:c>
      <x:c r="I12" s="30" t="b">
        <x:v>0</x:v>
      </x:c>
      <x:c r="J12" t="n">
        <x:v>1.6724521196476954</x:v>
      </x:c>
      <x:c r="K12" t="n">
        <x:v>0.40368133267835404</x:v>
      </x:c>
      <x:c r="L12" t="n">
        <x:v>1847.4889753262826</x:v>
      </x:c>
      <x:c r="M12" t="n">
        <x:v>339.4055618915053</x:v>
      </x:c>
      <x:c r="N12" t="n">
        <x:v>2.4234373580650885</x:v>
      </x:c>
      <x:c r="O12" t="n">
        <x:v>0.9818753550818299</x:v>
      </x:c>
      <x:c r="P12" t="n">
        <x:v>0.0005255137178675202</x:v>
      </x:c>
      <x:c r="Q12" t="n">
        <x:v>8.044334126053814</x:v>
      </x:c>
      <x:c r="R12" t="n">
        <x:v>2301.963703090758</x:v>
      </x:c>
      <x:c r="S12" t="n">
        <x:v>160.31811123261994</x:v>
      </x:c>
      <x:c r="T12" t="n">
        <x:v>-0.25967498940872286</x:v>
      </x:c>
      <x:c r="U12" t="n">
        <x:v>6.8555900703152135</x:v>
      </x:c>
      <x:c r="V12" t="n">
        <x:v>-53.282753551590936</x:v>
      </x:c>
      <x:c r="W12" t="n">
        <x:v>-47.162297314285574</x:v>
      </x:c>
      <x:c r="X12" t="n">
        <x:v>3.4308075803780667</x:v>
      </x:c>
      <x:c r="Y12" t="n">
        <x:v>3.7643775697571638</x:v>
      </x:c>
      <x:c r="Z12" t="n">
        <x:v>0.6334075178396641</x:v>
      </x:c>
      <x:c r="AA12" t="n">
        <x:v>0</x:v>
      </x:c>
      <x:c r="AB12" t="n">
        <x:v>0</x:v>
      </x:c>
      <x:c r="AC12" t="n">
        <x:v>0</x:v>
      </x:c>
    </x:row>
    <x:row r="13">
      <x:c r="A13" t="n">
        <x:v>2037</x:v>
      </x:c>
      <x:c r="B13" t="n">
        <x:v>435.6818952118048</x:v>
      </x:c>
      <x:c r="C13" t="n">
        <x:v>13.400109522775944</x:v>
      </x:c>
      <x:c r="D13" t="n">
        <x:v>9.83529411764706</x:v>
      </x:c>
      <x:c r="E13" t="n">
        <x:v>0.038198489504550626</x:v>
      </x:c>
      <x:c r="F13" t="n">
        <x:v>0.32803266089897837</x:v>
      </x:c>
      <x:c r="G13" t="n">
        <x:v>0.05102730280650773</x:v>
      </x:c>
      <x:c r="H13" t="n">
        <x:v>58.861323859871874</x:v>
      </x:c>
      <x:c r="I13" s="30" t="b">
        <x:v>0</x:v>
      </x:c>
      <x:c r="J13" t="n">
        <x:v>1.6956796835362673</x:v>
      </x:c>
      <x:c r="K13" t="n">
        <x:v>0.41246806630266863</x:v>
      </x:c>
      <x:c r="L13" t="n">
        <x:v>1829.7962056193167</x:v>
      </x:c>
      <x:c r="M13" t="n">
        <x:v>339.3308944014133</x:v>
      </x:c>
      <x:c r="N13" t="n">
        <x:v>2.404785939794061</x:v>
      </x:c>
      <x:c r="O13" t="n">
        <x:v>1.038941250316186</x:v>
      </x:c>
      <x:c r="P13" t="n">
        <x:v>0.0006091018428827233</x:v>
      </x:c>
      <x:c r="Q13" t="n">
        <x:v>8.045390602198271</x:v>
      </x:c>
      <x:c r="R13" t="n">
        <x:v>2302.3209039063695</x:v>
      </x:c>
      <x:c r="S13" t="n">
        <x:v>164.02588434759835</x:v>
      </x:c>
      <x:c r="T13" t="n">
        <x:v>-0.30080954955135003</x:v>
      </x:c>
      <x:c r="U13" t="n">
        <x:v>7.006830064372435</x:v>
      </x:c>
      <x:c r="V13" t="n">
        <x:v>-60.590393165514726</x:v>
      </x:c>
      <x:c r="W13" t="n">
        <x:v>-53.03956175877843</x:v>
      </x:c>
      <x:c r="X13" t="n">
        <x:v>3.5101539250386047</x:v>
      </x:c>
      <x:c r="Y13" t="n">
        <x:v>3.943495247348975</x:v>
      </x:c>
      <x:c r="Z13" t="n">
        <x:v>1.0794169905068278</x:v>
      </x:c>
      <x:c r="AA13" t="n">
        <x:v>0</x:v>
      </x:c>
      <x:c r="AB13" t="n">
        <x:v>0</x:v>
      </x:c>
      <x:c r="AC13" t="n">
        <x:v>0</x:v>
      </x:c>
    </x:row>
    <x:row r="14">
      <x:c r="A14" t="n">
        <x:v>2038</x:v>
      </x:c>
      <x:c r="B14" t="n">
        <x:v>433.8318887892341</x:v>
      </x:c>
      <x:c r="C14" t="n">
        <x:v>10.471937239283855</x:v>
      </x:c>
      <x:c r="D14" t="n">
        <x:v>10.729411764705883</x:v>
      </x:c>
      <x:c r="E14" t="n">
        <x:v>0.04610914398532284</x:v>
      </x:c>
      <x:c r="F14" t="n">
        <x:v>0.3503364329123581</x:v>
      </x:c>
      <x:c r="G14" t="n">
        <x:v>0.054496778453033475</x:v>
      </x:c>
      <x:c r="H14" t="n">
        <x:v>69.54462648059243</x:v>
      </x:c>
      <x:c r="I14" s="30" t="b">
        <x:v>0</x:v>
      </x:c>
      <x:c r="J14" t="n">
        <x:v>1.7177322418892769</x:v>
      </x:c>
      <x:c r="K14" t="n">
        <x:v>0.4213500280260377</x:v>
      </x:c>
      <x:c r="L14" t="n">
        <x:v>1811.1110482375495</x:v>
      </x:c>
      <x:c r="M14" t="n">
        <x:v>339.25018042179335</x:v>
      </x:c>
      <x:c r="N14" t="n">
        <x:v>2.382010023154147</x:v>
      </x:c>
      <x:c r="O14" t="n">
        <x:v>1.0940036715719137</x:v>
      </x:c>
      <x:c r="P14" t="n">
        <x:v>0.0006944832334788544</x:v>
      </x:c>
      <x:c r="Q14" t="n">
        <x:v>8.046672874808435</x:v>
      </x:c>
      <x:c r="R14" t="n">
        <x:v>2302.7018630822217</x:v>
      </x:c>
      <x:c r="S14" t="n">
        <x:v>167.79088969334506</x:v>
      </x:c>
      <x:c r="T14" t="n">
        <x:v>-0.3406939627529481</x:v>
      </x:c>
      <x:c r="U14" t="n">
        <x:v>7.1620248253716365</x:v>
      </x:c>
      <x:c r="V14" t="n">
        <x:v>-68.09311195363931</x:v>
      </x:c>
      <x:c r="W14" t="n">
        <x:v>-58.95540432152294</x:v>
      </x:c>
      <x:c r="X14" t="n">
        <x:v>3.5907250394375843</x:v>
      </x:c>
      <x:c r="Y14" t="n">
        <x:v>4.1244364855615</x:v>
      </x:c>
      <x:c r="Z14" t="n">
        <x:v>1.6347167764408799</x:v>
      </x:c>
      <x:c r="AA14" t="n">
        <x:v>0</x:v>
      </x:c>
      <x:c r="AB14" t="n">
        <x:v>0</x:v>
      </x:c>
      <x:c r="AC14" t="n">
        <x:v>0</x:v>
      </x:c>
    </x:row>
    <x:row r="15">
      <x:c r="A15" t="n">
        <x:v>2039</x:v>
      </x:c>
      <x:c r="B15" t="n">
        <x:v>431.71111502080976</x:v>
      </x:c>
      <x:c r="C15" t="n">
        <x:v>7.979047459482819</x:v>
      </x:c>
      <x:c r="D15" t="n">
        <x:v>11.623529411764704</x:v>
      </x:c>
      <x:c r="E15" t="n">
        <x:v>0.054772699016784256</x:v>
      </x:c>
      <x:c r="F15" t="n">
        <x:v>0.3696394928689623</x:v>
      </x:c>
      <x:c r="G15" t="n">
        <x:v>0.05749947666850523</x:v>
      </x:c>
      <x:c r="H15" t="n">
        <x:v>81.11338319334035</x:v>
      </x:c>
      <x:c r="I15" s="30" t="b">
        <x:v>0</x:v>
      </x:c>
      <x:c r="J15" t="n">
        <x:v>1.7378252359667736</x:v>
      </x:c>
      <x:c r="K15" t="n">
        <x:v>0.4303158926245104</x:v>
      </x:c>
      <x:c r="L15" t="n">
        <x:v>1791.7832501978944</x:v>
      </x:c>
      <x:c r="M15" t="n">
        <x:v>339.1638901972428</x:v>
      </x:c>
      <x:c r="N15" t="n">
        <x:v>2.3557808254856254</x:v>
      </x:c>
      <x:c r="O15" t="n">
        <x:v>1.1433326966108153</x:v>
      </x:c>
      <x:c r="P15" t="n">
        <x:v>0.0007803568231027257</x:v>
      </x:c>
      <x:c r="Q15" t="n">
        <x:v>8.048144181350901</x:v>
      </x:c>
      <x:c r="R15" t="n">
        <x:v>2303.105421909413</x:v>
      </x:c>
      <x:c r="S15" t="n">
        <x:v>171.61352805773802</x:v>
      </x:c>
      <x:c r="T15" t="n">
        <x:v>-0.37578380340281065</x:v>
      </x:c>
      <x:c r="U15" t="n">
        <x:v>7.322606117551378</x:v>
      </x:c>
      <x:c r="V15" t="n">
        <x:v>-75.7915018745935</x:v>
      </x:c>
      <x:c r="W15" t="n">
        <x:v>-64.90651012116899</x:v>
      </x:c>
      <x:c r="X15" t="n">
        <x:v>3.6725295004355933</x:v>
      </x:c>
      <x:c r="Y15" t="n">
        <x:v>4.308578448689227</x:v>
      </x:c>
      <x:c r="Z15" t="n">
        <x:v>2.303460060223331</x:v>
      </x:c>
      <x:c r="AA15" t="n">
        <x:v>0</x:v>
      </x:c>
      <x:c r="AB15" t="n">
        <x:v>0</x:v>
      </x:c>
      <x:c r="AC15" t="n">
        <x:v>0</x:v>
      </x:c>
    </x:row>
    <x:row r="16">
      <x:c r="A16" t="n">
        <x:v>2040</x:v>
      </x:c>
      <x:c r="B16" t="n">
        <x:v>429.38235441882455</x:v>
      </x:c>
      <x:c r="C16" t="n">
        <x:v>5.987496341121337</x:v>
      </x:c>
      <x:c r="D16" t="n">
        <x:v>12.51764705882353</x:v>
      </x:c>
      <x:c r="E16" t="n">
        <x:v>0.06416381940703327</x:v>
      </x:c>
      <x:c r="F16" t="n">
        <x:v>0.3849483480857247</x:v>
      </x:c>
      <x:c r="G16" t="n">
        <x:v>0.059880854146668286</x:v>
      </x:c>
      <x:c r="H16" t="n">
        <x:v>93.56686643275685</x:v>
      </x:c>
      <x:c r="I16" s="30" t="b">
        <x:v>0</x:v>
      </x:c>
      <x:c r="J16" t="n">
        <x:v>1.7551524165813828</x:v>
      </x:c>
      <x:c r="K16" t="n">
        <x:v>0.43934895490621784</x:v>
      </x:c>
      <x:c r="L16" t="n">
        <x:v>1772.1732320193241</x:v>
      </x:c>
      <x:c r="M16" t="n">
        <x:v>339.0725366886225</x:v>
      </x:c>
      <x:c r="N16" t="n">
        <x:v>2.3268304598861014</x:v>
      </x:c>
      <x:c r="O16" t="n">
        <x:v>1.1843261024676313</x:v>
      </x:c>
      <x:c r="P16" t="n">
        <x:v>0.0008651448833439318</x:v>
      </x:c>
      <x:c r="Q16" t="n">
        <x:v>8.049764510537933</x:v>
      </x:c>
      <x:c r="R16" t="n">
        <x:v>2303.5304781899417</x:v>
      </x:c>
      <x:c r="S16" t="n">
        <x:v>175.49420061060923</x:v>
      </x:c>
      <x:c r="T16" t="n">
        <x:v>-0.40203679364206624</x:v>
      </x:c>
      <x:c r="U16" t="n">
        <x:v>7.490947622068984</x:v>
      </x:c>
      <x:c r="V16" t="n">
        <x:v>-83.68448629030455</x:v>
      </x:c>
      <x:c r="W16" t="n">
        <x:v>-70.88840587930099</x:v>
      </x:c>
      <x:c r="X16" t="n">
        <x:v>3.755575893067037</x:v>
      </x:c>
      <x:c r="Y16" t="n">
        <x:v>4.49821175419785</x:v>
      </x:c>
      <x:c r="Z16" t="n">
        <x:v>3.092165122558611</x:v>
      </x:c>
      <x:c r="AA16" t="n">
        <x:v>0</x:v>
      </x:c>
      <x:c r="AB16" t="n">
        <x:v>0</x:v>
      </x:c>
      <x:c r="AC16" t="n">
        <x:v>0</x:v>
      </x:c>
    </x:row>
    <x:row r="17">
      <x:c r="A17" t="n">
        <x:v>2041</x:v>
      </x:c>
      <x:c r="B17" t="n">
        <x:v>426.9035119753505</x:v>
      </x:c>
      <x:c r="C17" t="n">
        <x:v>4.48703632384297</x:v>
      </x:c>
      <x:c r="D17" t="n">
        <x:v>13.411764705882353</x:v>
      </x:c>
      <x:c r="E17" t="n">
        <x:v>0.07424684965935024</x:v>
      </x:c>
      <x:c r="F17" t="n">
        <x:v>0.39545722954044815</x:v>
      </x:c>
      <x:c r="G17" t="n">
        <x:v>0.06151556903962523</x:v>
      </x:c>
      <x:c r="H17" t="n">
        <x:v>106.90438428897986</x:v>
      </x:c>
      <x:c r="I17" s="30" t="b">
        <x:v>0</x:v>
      </x:c>
      <x:c r="J17" t="n">
        <x:v>1.7690362170043918</x:v>
      </x:c>
      <x:c r="K17" t="n">
        <x:v>0.4484275171483794</x:v>
      </x:c>
      <x:c r="L17" t="n">
        <x:v>1752.6046161770446</x:v>
      </x:c>
      <x:c r="M17" t="n">
        <x:v>338.976617451064</x:v>
      </x:c>
      <x:c r="N17" t="n">
        <x:v>2.295841299812766</x:v>
      </x:c>
      <x:c r="O17" t="n">
        <x:v>1.2156449261974072</x:v>
      </x:c>
      <x:c r="P17" t="n">
        <x:v>0.0009470877958140669</x:v>
      </x:c>
      <x:c r="Q17" t="n">
        <x:v>8.051496609373778</x:v>
      </x:c>
      <x:c r="R17" t="n">
        <x:v>2303.9759834806364</x:v>
      </x:c>
      <x:c r="S17" t="n">
        <x:v>179.43330903288478</x:v>
      </x:c>
      <x:c r="T17" t="n">
        <x:v>-0.4155448010866381</x:v>
      </x:c>
      <x:c r="U17" t="n">
        <x:v>7.671575015848593</x:v>
      </x:c>
      <x:c r="V17" t="n">
        <x:v>-91.77160610723978</x:v>
      </x:c>
      <x:c r="W17" t="n">
        <x:v>-76.89725502646593</x:v>
      </x:c>
      <x:c r="X17" t="n">
        <x:v>3.839872813303734</x:v>
      </x:c>
      <x:c r="Y17" t="n">
        <x:v>4.697731713397421</x:v>
      </x:c>
      <x:c r="Z17" t="n">
        <x:v>4.01186732510347</x:v>
      </x:c>
      <x:c r="AA17" t="n">
        <x:v>0</x:v>
      </x:c>
      <x:c r="AB17" t="n">
        <x:v>0</x:v>
      </x:c>
      <x:c r="AC17" t="n">
        <x:v>0</x:v>
      </x:c>
    </x:row>
    <x:row r="18">
      <x:c r="A18" t="n">
        <x:v>2042</x:v>
      </x:c>
      <x:c r="B18" t="n">
        <x:v>424.31846002884674</x:v>
      </x:c>
      <x:c r="C18" t="n">
        <x:v>3.3875365951285916</x:v>
      </x:c>
      <x:c r="D18" t="n">
        <x:v>14.305882352941177</x:v>
      </x:c>
      <x:c r="E18" t="n">
        <x:v>0.08498233481205168</x:v>
      </x:c>
      <x:c r="F18" t="n">
        <x:v>0.4008092064767745</x:v>
      </x:c>
      <x:c r="G18" t="n">
        <x:v>0.062348098785276015</x:v>
      </x:c>
      <x:c r="H18" t="n">
        <x:v>121.12528430710897</x:v>
      </x:c>
      <x:c r="I18" s="30" t="b">
        <x:v>0</x:v>
      </x:c>
      <x:c r="J18" t="n">
        <x:v>1.7791305435773703</x:v>
      </x:c>
      <x:c r="K18" t="n">
        <x:v>0.4575264802071019</x:v>
      </x:c>
      <x:c r="L18" t="n">
        <x:v>1733.3185940332185</x:v>
      </x:c>
      <x:c r="M18" t="n">
        <x:v>338.87655432139013</x:v>
      </x:c>
      <x:c r="N18" t="n">
        <x:v>2.2633321038230796</x:v>
      </x:c>
      <x:c r="O18" t="n">
        <x:v>1.238090444027279</x:v>
      </x:c>
      <x:c r="P18" t="n">
        <x:v>0.0010244316257882553</x:v>
      </x:c>
      <x:c r="Q18" t="n">
        <x:v>8.05331213707347</x:v>
      </x:c>
      <x:c r="R18" t="n">
        <x:v>2304.440940471503</x:v>
      </x:c>
      <x:c r="S18" t="n">
        <x:v>183.43125564669012</x:v>
      </x:c>
      <x:c r="T18" t="n">
        <x:v>-0.4135212537054004</x:v>
      </x:c>
      <x:c r="U18" t="n">
        <x:v>7.875024037923665</x:v>
      </x:c>
      <x:c r="V18" t="n">
        <x:v>-100.06015139886885</x:v>
      </x:c>
      <x:c r="W18" t="n">
        <x:v>-82.93501114593394</x:v>
      </x:c>
      <x:c r="X18" t="n">
        <x:v>3.9254288708391685</x:v>
      </x:c>
      <x:c r="Y18" t="n">
        <x:v>4.917453358088263</x:v>
      </x:c>
      <x:c r="Z18" t="n">
        <x:v>5.084129158854633</x:v>
      </x:c>
      <x:c r="AA18" t="n">
        <x:v>0</x:v>
      </x:c>
      <x:c r="AB18" t="n">
        <x:v>0</x:v>
      </x:c>
      <x:c r="AC18" t="n">
        <x:v>0</x:v>
      </x:c>
    </x:row>
    <x:row r="19">
      <x:c r="A19" t="n">
        <x:v>2043</x:v>
      </x:c>
      <x:c r="B19" t="n">
        <x:v>421.6680473118905</x:v>
      </x:c>
      <x:c r="C19" t="n">
        <x:v>2.6782371135922576</x:v>
      </x:c>
      <x:c r="D19" t="n">
        <x:v>15.2</x:v>
      </x:c>
      <x:c r="E19" t="n">
        <x:v>0.09631912099365667</x:v>
      </x:c>
      <x:c r="F19" t="n">
        <x:v>0.4005844200074597</x:v>
      </x:c>
      <x:c r="G19" t="n">
        <x:v>0.062313132001160364</x:v>
      </x:c>
      <x:c r="H19" t="n">
        <x:v>136.22896518611532</x:v>
      </x:c>
      <x:c r="I19" s="30" t="b">
        <x:v>0</x:v>
      </x:c>
      <x:c r="J19" t="n">
        <x:v>1.7850357044828902</x:v>
      </x:c>
      <x:c r="K19" t="n">
        <x:v>0.466618363438114</x:v>
      </x:c>
      <x:c r="L19" t="n">
        <x:v>1714.5293503126068</x:v>
      </x:c>
      <x:c r="M19" t="n">
        <x:v>338.7727544467408</x:v>
      </x:c>
      <x:c r="N19" t="n">
        <x:v>2.2297946617705975</x:v>
      </x:c>
      <x:c r="O19" t="n">
        <x:v>1.249998126044968</x:v>
      </x:c>
      <x:c r="P19" t="n">
        <x:v>0.0010954034326174512</x:v>
      </x:c>
      <x:c r="Q19" t="n">
        <x:v>8.055184279822761</x:v>
      </x:c>
      <x:c r="R19" t="n">
        <x:v>2304.9244004919296</x:v>
      </x:c>
      <x:c r="S19" t="n">
        <x:v>187.4884435463255</x:v>
      </x:c>
      <x:c r="T19" t="n">
        <x:v>-0.3928262030448125</x:v>
      </x:c>
      <x:c r="U19" t="n">
        <x:v>8.136297143009974</x:v>
      </x:c>
      <x:c r="V19" t="n">
        <x:v>-108.58927474492364</x:v>
      </x:c>
      <x:c r="W19" t="n">
        <x:v>-89.02619173033193</x:v>
      </x:c>
      <x:c r="X19" t="n">
        <x:v>4.012252691891366</x:v>
      </x:c>
      <x:c r="Y19" t="n">
        <x:v>5.1919478931662155</x:v>
      </x:c>
      <x:c r="Z19" t="n">
        <x:v>6.365506943306576</x:v>
      </x:c>
      <x:c r="AA19" t="n">
        <x:v>0</x:v>
      </x:c>
      <x:c r="AB19" t="n">
        <x:v>0</x:v>
      </x:c>
      <x:c r="AC19" t="n">
        <x:v>0</x:v>
      </x:c>
    </x:row>
    <x:row r="20">
      <x:c r="A20" t="n">
        <x:v>2044</x:v>
      </x:c>
      <x:c r="B20" t="n">
        <x:v>419.07355529002905</x:v>
      </x:c>
      <x:c r="C20" t="n">
        <x:v>2.1223618171202574</x:v>
      </x:c>
      <x:c r="D20" t="n">
        <x:v>15.2</x:v>
      </x:c>
      <x:c r="E20" t="n">
        <x:v>0.10823553059557013</x:v>
      </x:c>
      <x:c r="F20" t="n">
        <x:v>0.39580497055403513</x:v>
      </x:c>
      <x:c r="G20" t="n">
        <x:v>0.061569662086183224</x:v>
      </x:c>
      <x:c r="H20" t="n">
        <x:v>151.32072965551976</x:v>
      </x:c>
      <x:c r="I20" s="30" t="b">
        <x:v>0</x:v>
      </x:c>
      <x:c r="J20" t="n">
        <x:v>1.7874497985673528</x:v>
      </x:c>
      <x:c r="K20" t="n">
        <x:v>0.4756767769799152</x:v>
      </x:c>
      <x:c r="L20" t="n">
        <x:v>1696.2884176218865</x:v>
      </x:c>
      <x:c r="M20" t="n">
        <x:v>338.66543910646084</x:v>
      </x:c>
      <x:c r="N20" t="n">
        <x:v>2.1967600182868336</x:v>
      </x:c>
      <x:c r="O20" t="n">
        <x:v>1.258161800694066</x:v>
      </x:c>
      <x:c r="P20" t="n">
        <x:v>0.0011587678682274335</x:v>
      </x:c>
      <x:c r="Q20" t="n">
        <x:v>8.057024918211432</x:v>
      </x:c>
      <x:c r="R20" t="n">
        <x:v>2305.384281888929</x:v>
      </x:c>
      <x:c r="S20" t="n">
        <x:v>191.60527673001877</x:v>
      </x:c>
      <x:c r="T20" t="n">
        <x:v>-0.3551874670554685</x:v>
      </x:c>
      <x:c r="U20" t="n">
        <x:v>8.10734912722624</x:v>
      </x:c>
      <x:c r="V20" t="n">
        <x:v>-117.05181133920536</x:v>
      </x:c>
      <x:c r="W20" t="n">
        <x:v>-94.95131606280793</x:v>
      </x:c>
      <x:c r="X20" t="n">
        <x:v>4.1003529220224015</x:v>
      </x:c>
      <x:c r="Y20" t="n">
        <x:v>5.172038988360106</x:v>
      </x:c>
      <x:c r="Z20" t="n">
        <x:v>7.564503148510412</x:v>
      </x:c>
      <x:c r="AA20" t="n">
        <x:v>0</x:v>
      </x:c>
      <x:c r="AB20" t="n">
        <x:v>0</x:v>
      </x:c>
      <x:c r="AC20" t="n">
        <x:v>0</x:v>
      </x:c>
    </x:row>
    <x:row r="21">
      <x:c r="A21" t="n">
        <x:v>2045</x:v>
      </x:c>
      <x:c r="B21" t="n">
        <x:v>416.5593138085294</x:v>
      </x:c>
      <x:c r="C21" t="n">
        <x:v>1.8814101560330425</x:v>
      </x:c>
      <x:c r="D21" t="n">
        <x:v>15.2</x:v>
      </x:c>
      <x:c r="E21" t="n">
        <x:v>0.11994545994667363</x:v>
      </x:c>
      <x:c r="F21" t="n">
        <x:v>0.38796750702528454</x:v>
      </x:c>
      <x:c r="G21" t="n">
        <x:v>0.06035050109282202</x:v>
      </x:c>
      <x:c r="H21" t="n">
        <x:v>166.40078419557307</x:v>
      </x:c>
      <x:c r="I21" s="30" t="b">
        <x:v>0</x:v>
      </x:c>
      <x:c r="J21" t="n">
        <x:v>1.7860573380369058</x:v>
      </x:c>
      <x:c r="K21" t="n">
        <x:v>0.484676938078554</x:v>
      </x:c>
      <x:c r="L21" t="n">
        <x:v>1678.7415220836842</x:v>
      </x:c>
      <x:c r="M21" t="n">
        <x:v>338.5549476295619</x:v>
      </x:c>
      <x:c r="N21" t="n">
        <x:v>2.164551464276352</x:v>
      </x:c>
      <x:c r="O21" t="n">
        <x:v>1.2553352637815356</x:v>
      </x:c>
      <x:c r="P21" t="n">
        <x:v>0.0012139661202836597</x:v>
      </x:c>
      <x:c r="Q21" t="n">
        <x:v>8.058816859137126</x:v>
      </x:c>
      <x:c r="R21" t="n">
        <x:v>2305.8217346055353</x:v>
      </x:c>
      <x:c r="S21" t="n">
        <x:v>195.78216023236698</x:v>
      </x:c>
      <x:c r="T21" t="n">
        <x:v>-0.29799793812739994</x:v>
      </x:c>
      <x:c r="U21" t="n">
        <x:v>8.082328442979732</x:v>
      </x:c>
      <x:c r="V21" t="n">
        <x:v>-125.43213772031248</x:v>
      </x:c>
      <x:c r="W21" t="n">
        <x:v>-100.70382986771371</x:v>
      </x:c>
      <x:c r="X21" t="n">
        <x:v>4.1897382289726535</x:v>
      </x:c>
      <x:c r="Y21" t="n">
        <x:v>5.157705046676189</x:v>
      </x:c>
      <x:c r="Z21" t="n">
        <x:v>8.683760029184157</x:v>
      </x:c>
      <x:c r="AA21" t="n">
        <x:v>0</x:v>
      </x:c>
      <x:c r="AB21" t="n">
        <x:v>0</x:v>
      </x:c>
      <x:c r="AC21" t="n">
        <x:v>0</x:v>
      </x:c>
    </x:row>
    <x:row r="22">
      <x:c r="A22" t="n">
        <x:v>2046</x:v>
      </x:c>
      <x:c r="B22" t="n">
        <x:v>414.1221039185655</x:v>
      </x:c>
      <x:c r="C22" t="n">
        <x:v>1.7260186299608262</x:v>
      </x:c>
      <x:c r="D22" t="n">
        <x:v>15.2</x:v>
      </x:c>
      <x:c r="E22" t="n">
        <x:v>0.13143705308035128</x:v>
      </x:c>
      <x:c r="F22" t="n">
        <x:v>0.3802852356723131</x:v>
      </x:c>
      <x:c r="G22" t="n">
        <x:v>0.05915548110458203</x:v>
      </x:c>
      <x:c r="H22" t="n">
        <x:v>181.46934714249272</x:v>
      </x:c>
      <x:c r="I22" s="30" t="b">
        <x:v>0</x:v>
      </x:c>
      <x:c r="J22" t="n">
        <x:v>1.7815859088210533</x:v>
      </x:c>
      <x:c r="K22" t="n">
        <x:v>0.493595532549317</x:v>
      </x:c>
      <x:c r="L22" t="n">
        <x:v>1661.8820630539608</x:v>
      </x:c>
      <x:c r="M22" t="n">
        <x:v>338.44143994701994</x:v>
      </x:c>
      <x:c r="N22" t="n">
        <x:v>2.133143620160965</x:v>
      </x:c>
      <x:c r="O22" t="n">
        <x:v>1.249590082006745</x:v>
      </x:c>
      <x:c r="P22" t="n">
        <x:v>0.0012617216496105409</x:v>
      </x:c>
      <x:c r="Q22" t="n">
        <x:v>8.060561707184611</x:v>
      </x:c>
      <x:c r="R22" t="n">
        <x:v>2306.237852501399</x:v>
      </x:c>
      <x:c r="S22" t="n">
        <x:v>200.01950025737997</x:v>
      </x:c>
      <x:c r="T22" t="n">
        <x:v>-0.22352070125908105</x:v>
      </x:c>
      <x:c r="U22" t="n">
        <x:v>8.061669483985126</x:v>
      </x:c>
      <x:c r="V22" t="n">
        <x:v>-133.7173279055567</x:v>
      </x:c>
      <x:c r="W22" t="n">
        <x:v>-106.2795253517313</x:v>
      </x:c>
      <x:c r="X22" t="n">
        <x:v>4.280417305507931</x:v>
      </x:c>
      <x:c r="Y22" t="n">
        <x:v>5.1493276167347775</x:v>
      </x:c>
      <x:c r="Z22" t="n">
        <x:v>9.726345540994686</x:v>
      </x:c>
      <x:c r="AA22" t="n">
        <x:v>0</x:v>
      </x:c>
      <x:c r="AB22" t="n">
        <x:v>0</x:v>
      </x:c>
      <x:c r="AC22" t="n">
        <x:v>0</x:v>
      </x:c>
    </x:row>
    <x:row r="23">
      <x:c r="A23" t="n">
        <x:v>2047</x:v>
      </x:c>
      <x:c r="B23" t="n">
        <x:v>411.7530113092332</x:v>
      </x:c>
      <x:c r="C23" t="n">
        <x:v>1.5935674344730861</x:v>
      </x:c>
      <x:c r="D23" t="n">
        <x:v>15.2</x:v>
      </x:c>
      <x:c r="E23" t="n">
        <x:v>0.14271463539073004</x:v>
      </x:c>
      <x:c r="F23" t="n">
        <x:v>0.37275508348414804</x:v>
      </x:c>
      <x:c r="G23" t="n">
        <x:v>0.05798412409753413</x:v>
      </x:c>
      <x:c r="H23" t="n">
        <x:v>196.526632507102</x:v>
      </x:c>
      <x:c r="I23" s="30" t="b">
        <x:v>0</x:v>
      </x:c>
      <x:c r="J23" t="n">
        <x:v>1.7748424285773161</x:v>
      </x:c>
      <x:c r="K23" t="n">
        <x:v>0.5024146642975484</x:v>
      </x:c>
      <x:c r="L23" t="n">
        <x:v>1645.6657833402833</x:v>
      </x:c>
      <x:c r="M23" t="n">
        <x:v>338.3250248177597</x:v>
      </x:c>
      <x:c r="N23" t="n">
        <x:v>2.1024359198875255</x:v>
      </x:c>
      <x:c r="O23" t="n">
        <x:v>1.2432877783874399</x:v>
      </x:c>
      <x:c r="P23" t="n">
        <x:v>0.0013026979119526796</x:v>
      </x:c>
      <x:c r="Q23" t="n">
        <x:v>8.062265096329433</x:v>
      </x:c>
      <x:c r="R23" t="n">
        <x:v>2306.6336760880063</x:v>
      </x:c>
      <x:c r="S23" t="n">
        <x:v>204.3177043120437</x:v>
      </x:c>
      <x:c r="T23" t="n">
        <x:v>-0.13472230442153452</x:v>
      </x:c>
      <x:c r="U23" t="n">
        <x:v>8.046390499540257</x:v>
      </x:c>
      <x:c r="V23" t="n">
        <x:v>-141.89844070951847</x:v>
      </x:c>
      <x:c r="W23" t="n">
        <x:v>-111.677225734074</x:v>
      </x:c>
      <x:c r="X23" t="n">
        <x:v>4.372398872277735</x:v>
      </x:c>
      <x:c r="Y23" t="n">
        <x:v>5.147863588720363</x:v>
      </x:c>
      <x:c r="Z23" t="n">
        <x:v>10.696337168257209</x:v>
      </x:c>
      <x:c r="AA23" t="n">
        <x:v>0</x:v>
      </x:c>
      <x:c r="AB23" t="n">
        <x:v>0</x:v>
      </x:c>
      <x:c r="AC23" t="n">
        <x:v>0</x:v>
      </x:c>
    </x:row>
    <x:row r="24">
      <x:c r="A24" t="n">
        <x:v>2048</x:v>
      </x:c>
      <x:c r="B24" t="n">
        <x:v>409.4525587750651</x:v>
      </x:c>
      <x:c r="C24" t="n">
        <x:v>1.543095517731955</x:v>
      </x:c>
      <x:c r="D24" t="n">
        <x:v>15.2</x:v>
      </x:c>
      <x:c r="E24" t="n">
        <x:v>0.15376814837491415</x:v>
      </x:c>
      <x:c r="F24" t="n">
        <x:v>0.3653740382995107</x:v>
      </x:c>
      <x:c r="G24" t="n">
        <x:v>0.05683596151325721</x:v>
      </x:c>
      <x:c r="H24" t="n">
        <x:v>211.57286435872706</x:v>
      </x:c>
      <x:c r="I24" s="30" t="b">
        <x:v>0</x:v>
      </x:c>
      <x:c r="J24" t="n">
        <x:v>1.7661159720340434</x:v>
      </x:c>
      <x:c r="K24" t="n">
        <x:v>0.5111203794354696</x:v>
      </x:c>
      <x:c r="L24" t="n">
        <x:v>1630.0882069420204</x:v>
      </x:c>
      <x:c r="M24" t="n">
        <x:v>338.20585267512337</x:v>
      </x:c>
      <x:c r="N24" t="n">
        <x:v>2.072448370889278</x:v>
      </x:c>
      <x:c r="O24" t="n">
        <x:v>1.2338509279284118</x:v>
      </x:c>
      <x:c r="P24" t="n">
        <x:v>0.001337503263757563</x:v>
      </x:c>
      <x:c r="Q24" t="n">
        <x:v>8.063926158587792</x:v>
      </x:c>
      <x:c r="R24" t="n">
        <x:v>2307.0101951304982</x:v>
      </x:c>
      <x:c r="S24" t="n">
        <x:v>208.67718134032313</x:v>
      </x:c>
      <x:c r="T24" t="n">
        <x:v>-0.0323535571365052</x:v>
      </x:c>
      <x:c r="U24" t="n">
        <x:v>8.038372114457403</x:v>
      </x:c>
      <x:c r="V24" t="n">
        <x:v>-149.9691663811124</x:v>
      </x:c>
      <x:c r="W24" t="n">
        <x:v>-116.8976861477245</x:v>
      </x:c>
      <x:c r="X24" t="n">
        <x:v>4.465691680682915</x:v>
      </x:c>
      <x:c r="Y24" t="n">
        <x:v>5.155112037758926</x:v>
      </x:c>
      <x:c r="Z24" t="n">
        <x:v>11.599684268698365</x:v>
      </x:c>
      <x:c r="AA24" t="n">
        <x:v>0</x:v>
      </x:c>
      <x:c r="AB24" t="n">
        <x:v>0</x:v>
      </x:c>
      <x:c r="AC24" t="n">
        <x:v>0</x:v>
      </x:c>
    </x:row>
    <x:row r="25">
      <x:c r="A25" t="n">
        <x:v>2049</x:v>
      </x:c>
      <x:c r="B25" t="n">
        <x:v>407.2164622734499</x:v>
      </x:c>
      <x:c r="C25" t="n">
        <x:v>1.5260166021134471</x:v>
      </x:c>
      <x:c r="D25" t="n">
        <x:v>15.2</x:v>
      </x:c>
      <x:c r="E25" t="n">
        <x:v>0.16460120643955267</x:v>
      </x:c>
      <x:c r="F25" t="n">
        <x:v>0.358139147601912</x:v>
      </x:c>
      <x:c r="G25" t="n">
        <x:v>0.05571053407140852</x:v>
      </x:c>
      <x:c r="H25" t="n">
        <x:v>226.60826315228752</x:v>
      </x:c>
      <x:c r="I25" s="30" t="b">
        <x:v>0</x:v>
      </x:c>
      <x:c r="J25" t="n">
        <x:v>1.755848099179274</x:v>
      </x:c>
      <x:c r="K25" t="n">
        <x:v>0.5197013106599786</x:v>
      </x:c>
      <x:c r="L25" t="n">
        <x:v>1615.115585706004</x:v>
      </x:c>
      <x:c r="M25" t="n">
        <x:v>338.0840337017395</x:v>
      </x:c>
      <x:c r="N25" t="n">
        <x:v>2.0431378193941243</x:v>
      </x:c>
      <x:c r="O25" t="n">
        <x:v>1.2232349157015208</x:v>
      </x:c>
      <x:c r="P25" t="n">
        <x:v>0.001366695467779562</x:v>
      </x:c>
      <x:c r="Q25" t="n">
        <x:v>8.065547412114192</x:v>
      </x:c>
      <x:c r="R25" t="n">
        <x:v>2307.3683511226013</x:v>
      </x:c>
      <x:c r="S25" t="n">
        <x:v>213.0983418575283</x:v>
      </x:c>
      <x:c r="T25" t="n">
        <x:v>0.08196047181434607</x:v>
      </x:c>
      <x:c r="U25" t="n">
        <x:v>8.040989122648089</x:v>
      </x:c>
      <x:c r="V25" t="n">
        <x:v>-157.92819503194613</x:v>
      </x:c>
      <x:c r="W25" t="n">
        <x:v>-121.94495126577563</x:v>
      </x:c>
      <x:c r="X25" t="n">
        <x:v>4.560304515751105</x:v>
      </x:c>
      <x:c r="Y25" t="n">
        <x:v>5.174328770607456</x:v>
      </x:c>
      <x:c r="Z25" t="n">
        <x:v>12.445702208928683</x:v>
      </x:c>
      <x:c r="AA25" t="n">
        <x:v>0</x:v>
      </x:c>
      <x:c r="AB25" t="n">
        <x:v>0</x:v>
      </x:c>
      <x:c r="AC25" t="n">
        <x:v>0</x:v>
      </x:c>
    </x:row>
    <x:row r="26">
      <x:c r="A26" t="n">
        <x:v>2050</x:v>
      </x:c>
      <x:c r="B26" t="n">
        <x:v>405.03839029107525</x:v>
      </x:c>
      <x:c r="C26" t="n">
        <x:v>1.5151287141088141</x:v>
      </x:c>
      <x:c r="D26" t="n">
        <x:v>15.2</x:v>
      </x:c>
      <x:c r="E26" t="n">
        <x:v>0.17522525377724973</x:v>
      </x:c>
      <x:c r="F26" t="n">
        <x:v>0.35104751733860634</x:v>
      </x:c>
      <x:c r="G26" t="n">
        <x:v>0.05460739158600541</x:v>
      </x:c>
      <x:c r="H26" t="n">
        <x:v>241.63303789851028</x:v>
      </x:c>
      <x:c r="I26" s="30" t="b">
        <x:v>0</x:v>
      </x:c>
      <x:c r="J26" t="n">
        <x:v>1.7444910306120307</x:v>
      </x:c>
      <x:c r="K26" t="n">
        <x:v>0.5281492352335212</x:v>
      </x:c>
      <x:c r="L26" t="n">
        <x:v>1600.7004305366586</x:v>
      </x:c>
      <x:c r="M26" t="n">
        <x:v>337.95965450620025</x:v>
      </x:c>
      <x:c r="N26" t="n">
        <x:v>2.0144326972559523</x:v>
      </x:c>
      <x:c r="O26" t="n">
        <x:v>1.2125678160498476</x:v>
      </x:c>
      <x:c r="P26" t="n">
        <x:v>0.0013907858311794014</x:v>
      </x:c>
      <x:c r="Q26" t="n">
        <x:v>8.067132886258467</x:v>
      </x:c>
      <x:c r="R26" t="n">
        <x:v>2307.709039640851</x:v>
      </x:c>
      <x:c r="S26" t="n">
        <x:v>217.58159808497004</x:v>
      </x:c>
      <x:c r="T26" t="n">
        <x:v>0.20638888936852182</x:v>
      </x:c>
      <x:c r="U26" t="n">
        <x:v>8.06060912414583</x:v>
      </x:c>
      <x:c r="V26" t="n">
        <x:v>-165.78241526672343</x:v>
      </x:c>
      <x:c r="W26" t="n">
        <x:v>-126.82808875674075</x:v>
      </x:c>
      <x:c r="X26" t="n">
        <x:v>4.656246199018359</x:v>
      </x:c>
      <x:c r="Y26" t="n">
        <x:v>5.211695079967257</x:v>
      </x:c>
      <x:c r="Z26" t="n">
        <x:v>13.250065134056154</x:v>
      </x:c>
      <x:c r="AA26" t="n">
        <x:v>0</x:v>
      </x:c>
      <x:c r="AB26" t="n">
        <x:v>0</x:v>
      </x:c>
      <x:c r="AC26" t="n">
        <x:v>0</x:v>
      </x:c>
    </x:row>
    <x:row r="27">
      <x:c r="A27" t="n">
        <x:v>2051</x:v>
      </x:c>
      <x:c r="B27" t="n">
        <x:v>402.91197544563227</x:v>
      </x:c>
      <x:c r="C27" t="n">
        <x:v>1.5</x:v>
      </x:c>
      <x:c r="D27" t="n">
        <x:v>15.2</x:v>
      </x:c>
      <x:c r="E27" t="n">
        <x:v>0.1856561283785509</x:v>
      </x:c>
      <x:c r="F27" t="n">
        <x:v>0.3440963107629321</x:v>
      </x:c>
      <x:c r="G27" t="n">
        <x:v>0.053526092785344974</x:v>
      </x:c>
      <x:c r="H27" t="n">
        <x:v>256.64738177013174</x:v>
      </x:c>
      <x:c r="I27" s="30" t="b">
        <x:v>0</x:v>
      </x:c>
      <x:c r="J27" t="n">
        <x:v>1.7324540329479166</x:v>
      </x:c>
      <x:c r="K27" t="n">
        <x:v>0.5364589485198402</x:v>
      </x:c>
      <x:c r="L27" t="n">
        <x:v>1587.3723760066118</x:v>
      </x:c>
      <x:c r="M27" t="n">
        <x:v>337.8375011107678</x:v>
      </x:c>
      <x:c r="N27" t="n">
        <x:v>1.9862590702443828</x:v>
      </x:c>
      <x:c r="O27" t="n">
        <x:v>1.2025527077046743</x:v>
      </x:c>
      <x:c r="P27" t="n">
        <x:v>0.0014102430061590152</x:v>
      </x:c>
      <x:c r="Q27" t="n">
        <x:v>8.068686720512781</x:v>
      </x:c>
      <x:c r="R27" t="n">
        <x:v>2308.033112584</x:v>
      </x:c>
      <x:c r="S27" t="n">
        <x:v>222.12736408483508</x:v>
      </x:c>
      <x:c r="T27" t="n">
        <x:v>0.3412422965674218</x:v>
      </x:c>
      <x:c r="U27" t="n">
        <x:v>8.010719640260172</x:v>
      </x:c>
      <x:c r="V27" t="n">
        <x:v>-173.4518926104162</x:v>
      </x:c>
      <x:c r="W27" t="n">
        <x:v>-131.50287195853872</x:v>
      </x:c>
      <x:c r="X27" t="n">
        <x:v>4.75352559141547</x:v>
      </x:c>
      <x:c r="Y27" t="n">
        <x:v>5.1587183375790495</x:v>
      </x:c>
      <x:c r="Z27" t="n">
        <x:v>13.920259182900857</x:v>
      </x:c>
      <x:c r="AA27" t="n">
        <x:v>0</x:v>
      </x:c>
      <x:c r="AB27" t="n">
        <x:v>0</x:v>
      </x:c>
      <x:c r="AC27" t="n">
        <x:v>0</x:v>
      </x:c>
    </x:row>
    <x:row r="28">
      <x:c r="A28" t="n">
        <x:v>2052</x:v>
      </x:c>
      <x:c r="B28" t="n">
        <x:v>400.8343344990971</x:v>
      </x:c>
      <x:c r="C28" t="n">
        <x:v>1.5</x:v>
      </x:c>
      <x:c r="D28" t="n">
        <x:v>15.2</x:v>
      </x:c>
      <x:c r="E28" t="n">
        <x:v>0.1959013142844701</x:v>
      </x:c>
      <x:c r="F28" t="n">
        <x:v>0.337282747299575</x:v>
      </x:c>
      <x:c r="G28" t="n">
        <x:v>0.05246620513548943</x:v>
      </x:c>
      <x:c r="H28" t="n">
        <x:v>271.65148045584726</x:v>
      </x:c>
      <x:c r="I28" s="30" t="b">
        <x:v>0</x:v>
      </x:c>
      <x:c r="J28" t="n">
        <x:v>1.7199327450343553</x:v>
      </x:c>
      <x:c r="K28" t="n">
        <x:v>0.5446273815816024</x:v>
      </x:c>
      <x:c r="L28" t="n">
        <x:v>1575.0485277697665</x:v>
      </x:c>
      <x:c r="M28" t="n">
        <x:v>337.7175645705574</x:v>
      </x:c>
      <x:c r="N28" t="n">
        <x:v>1.9585876840666077</x:v>
      </x:c>
      <x:c r="O28" t="n">
        <x:v>1.1923272434157797</x:v>
      </x:c>
      <x:c r="P28" t="n">
        <x:v>0.001425496480695198</x:v>
      </x:c>
      <x:c r="Q28" t="n">
        <x:v>8.070210643015717</x:v>
      </x:c>
      <x:c r="R28" t="n">
        <x:v>2308.3413803032076</x:v>
      </x:c>
      <x:c r="S28" t="n">
        <x:v>226.73605589521355</x:v>
      </x:c>
      <x:c r="T28" t="n">
        <x:v>0.48532089398074524</x:v>
      </x:c>
      <x:c r="U28" t="n">
        <x:v>4.004969851839232</x:v>
      </x:c>
      <x:c r="V28" t="n">
        <x:v>-176.9715415682747</x:v>
      </x:c>
      <x:c r="W28" t="n">
        <x:v>-133.60614126563422</x:v>
      </x:c>
      <x:c r="X28" t="n">
        <x:v>4.85215159615757</x:v>
      </x:c>
      <x:c r="Y28" t="n">
        <x:v>3.726564668181215</x:v>
      </x:c>
      <x:c r="Z28" t="n">
        <x:v>13.07307743858252</x:v>
      </x:c>
      <x:c r="AA28" t="n">
        <x:v>0</x:v>
      </x:c>
      <x:c r="AB28" t="n">
        <x:v>0</x:v>
      </x:c>
      <x:c r="AC28" t="n">
        <x:v>0</x:v>
      </x:c>
    </x:row>
    <x:row r="29">
      <x:c r="A29" t="n">
        <x:v>2053</x:v>
      </x:c>
      <x:c r="B29" t="n">
        <x:v>398.8014208790604</x:v>
      </x:c>
      <x:c r="C29" t="n">
        <x:v>1.5</x:v>
      </x:c>
      <x:c r="D29" t="n">
        <x:v>15.2</x:v>
      </x:c>
      <x:c r="E29" t="n">
        <x:v>0.20597258206683508</x:v>
      </x:c>
      <x:c r="F29" t="n">
        <x:v>0.33060410143230107</x:v>
      </x:c>
      <x:c r="G29" t="n">
        <x:v>0.051427304667246806</x:v>
      </x:c>
      <x:c r="H29" t="n">
        <x:v>286.64550787378045</x:v>
      </x:c>
      <x:c r="I29" s="30" t="b">
        <x:v>0</x:v>
      </x:c>
      <x:c r="J29" t="n">
        <x:v>1.7071397730366085</x:v>
      </x:c>
      <x:c r="K29" t="n">
        <x:v>0.5526528858791616</x:v>
      </x:c>
      <x:c r="L29" t="n">
        <x:v>1563.643783597885</x:v>
      </x:c>
      <x:c r="M29" t="n">
        <x:v>337.59982454744767</x:v>
      </x:c>
      <x:c r="N29" t="n">
        <x:v>1.9313728243347112</x:v>
      </x:c>
      <x:c r="O29" t="n">
        <x:v>1.1825054536250326</x:v>
      </x:c>
      <x:c r="P29" t="n">
        <x:v>0.0014369397846532273</x:v>
      </x:c>
      <x:c r="Q29" t="n">
        <x:v>8.071707253706055</x:v>
      </x:c>
      <x:c r="R29" t="n">
        <x:v>2308.6346136283414</x:v>
      </x:c>
      <x:c r="S29" t="n">
        <x:v>231.4080916652144</x:v>
      </x:c>
      <x:c r="T29" t="n">
        <x:v>0.6373855099638782</x:v>
      </x:c>
      <x:c r="U29" t="n">
        <x:v>3.9540795013756256</x:v>
      </x:c>
      <x:c r="V29" t="n">
        <x:v>-180.28823555968643</x:v>
      </x:c>
      <x:c r="W29" t="n">
        <x:v>-135.549266386608</x:v>
      </x:c>
      <x:c r="X29" t="n">
        <x:v>4.952133161635588</x:v>
      </x:c>
      <x:c r="Y29" t="n">
        <x:v>3.692617952603975</x:v>
      </x:c>
      <x:c r="Z29" t="n">
        <x:v>12.075023778322556</x:v>
      </x:c>
      <x:c r="AA29" t="n">
        <x:v>0</x:v>
      </x:c>
      <x:c r="AB29" t="n">
        <x:v>0</x:v>
      </x:c>
      <x:c r="AC29" t="n">
        <x:v>0</x:v>
      </x:c>
    </x:row>
    <x:row r="30">
      <x:c r="A30" t="n">
        <x:v>2054</x:v>
      </x:c>
      <x:c r="B30" t="n">
        <x:v>396.80987074709805</x:v>
      </x:c>
      <x:c r="C30" t="n">
        <x:v>1.5</x:v>
      </x:c>
      <x:c r="D30" t="n">
        <x:v>15.2</x:v>
      </x:c>
      <x:c r="E30" t="n">
        <x:v>0.2158800625188985</x:v>
      </x:c>
      <x:c r="F30" t="n">
        <x:v>0.3240577016137134</x:v>
      </x:c>
      <x:c r="G30" t="n">
        <x:v>0.050408975806577626</x:v>
      </x:c>
      <x:c r="H30" t="n">
        <x:v>301.6296278112615</x:v>
      </x:c>
      <x:c r="I30" s="30" t="b">
        <x:v>0</x:v>
      </x:c>
      <x:c r="J30" t="n">
        <x:v>1.6942241045163176</x:v>
      </x:c>
      <x:c r="K30" t="n">
        <x:v>0.5605350723608058</x:v>
      </x:c>
      <x:c r="L30" t="n">
        <x:v>1553.0802533159706</x:v>
      </x:c>
      <x:c r="M30" t="n">
        <x:v>337.4842608899056</x:v>
      </x:c>
      <x:c r="N30" t="n">
        <x:v>1.9045768436401416</x:v>
      </x:c>
      <x:c r="O30" t="n">
        <x:v>1.1730560460116906</x:v>
      </x:c>
      <x:c r="P30" t="n">
        <x:v>0.001444933434508108</x:v>
      </x:c>
      <x:c r="Q30" t="n">
        <x:v>8.073178708988317</x:v>
      </x:c>
      <x:c r="R30" t="n">
        <x:v>2308.9135457954535</x:v>
      </x:c>
      <x:c r="S30" t="n">
        <x:v>236.143891790108</x:v>
      </x:c>
      <x:c r="T30" t="n">
        <x:v>0.7965540282187923</x:v>
      </x:c>
      <x:c r="U30" t="n">
        <x:v>3.904265997477249</x:v>
      </x:c>
      <x:c r="V30" t="n">
        <x:v>-183.39594752894487</x:v>
      </x:c>
      <x:c r="W30" t="n">
        <x:v>-137.33425705947633</x:v>
      </x:c>
      <x:c r="X30" t="n">
        <x:v>5.0534792843083105</x:v>
      </x:c>
      <x:c r="Y30" t="n">
        <x:v>3.662765521910798</x:v>
      </x:c>
      <x:c r="Z30" t="n">
        <x:v>10.925810491491495</x:v>
      </x:c>
      <x:c r="AA30" t="n">
        <x:v>0</x:v>
      </x:c>
      <x:c r="AB30" t="n">
        <x:v>0</x:v>
      </x:c>
      <x:c r="AC30" t="n">
        <x:v>0</x:v>
      </x:c>
    </x:row>
    <x:row r="31">
      <x:c r="A31" t="n">
        <x:v>2055</x:v>
      </x:c>
      <x:c r="B31" t="n">
        <x:v>394.85686562425093</x:v>
      </x:c>
      <x:c r="C31" t="n">
        <x:v>1.5</x:v>
      </x:c>
      <x:c r="D31" t="n">
        <x:v>15.2</x:v>
      </x:c>
      <x:c r="E31" t="n">
        <x:v>0.2256324222370457</x:v>
      </x:c>
      <x:c r="F31" t="n">
        <x:v>0.31764092919659825</x:v>
      </x:c>
      <x:c r="G31" t="n">
        <x:v>0.04941081120835971</x:v>
      </x:c>
      <x:c r="H31" t="n">
        <x:v>316.6039953890245</x:v>
      </x:c>
      <x:c r="I31" s="30" t="b">
        <x:v>0</x:v>
      </x:c>
      <x:c r="J31" t="n">
        <x:v>1.6812888178230212</x:v>
      </x:c>
      <x:c r="K31" t="n">
        <x:v>0.5682744249156415</x:v>
      </x:c>
      <x:c r="L31" t="n">
        <x:v>1543.2866476113143</x:v>
      </x:c>
      <x:c r="M31" t="n">
        <x:v>337.37085363127466</x:v>
      </x:c>
      <x:c r="N31" t="n">
        <x:v>1.8781685518320925</x:v>
      </x:c>
      <x:c r="O31" t="n">
        <x:v>1.1639500278067387</x:v>
      </x:c>
      <x:c r="P31" t="n">
        <x:v>0.0014498076380169659</x:v>
      </x:c>
      <x:c r="Q31" t="n">
        <x:v>8.074626809577286</x:v>
      </x:c>
      <x:c r="R31" t="n">
        <x:v>2309.1788742802496</x:v>
      </x:c>
      <x:c r="S31" t="n">
        <x:v>240.94387904643767</x:v>
      </x:c>
      <x:c r="T31" t="n">
        <x:v>0.9622091290376479</x:v>
      </x:c>
      <x:c r="U31" t="n">
        <x:v>3.8547274132823155</x:v>
      </x:c>
      <x:c r="V31" t="n">
        <x:v>-186.28846581318953</x:v>
      </x:c>
      <x:c r="W31" t="n">
        <x:v>-138.9630697028614</x:v>
      </x:c>
      <x:c r="X31" t="n">
        <x:v>5.156199011593766</x:v>
      </x:c>
      <x:c r="Y31" t="n">
        <x:v>3.6362112034524854</x:v>
      </x:c>
      <x:c r="Z31" t="n">
        <x:v>9.624338893180044</x:v>
      </x:c>
      <x:c r="AA31" t="n">
        <x:v>0</x:v>
      </x:c>
      <x:c r="AB31" t="n">
        <x:v>0</x:v>
      </x:c>
      <x:c r="AC31" t="n">
        <x:v>0</x:v>
      </x:c>
    </x:row>
    <x:row r="32">
      <x:c r="A32" t="n">
        <x:v>2056</x:v>
      </x:c>
      <x:c r="B32" t="n">
        <x:v>392.94002338085477</x:v>
      </x:c>
      <x:c r="C32" t="n">
        <x:v>1.5</x:v>
      </x:c>
      <x:c r="D32" t="n">
        <x:v>15.2</x:v>
      </x:c>
      <x:c r="E32" t="n">
        <x:v>0.23523705694860322</x:v>
      </x:c>
      <x:c r="F32" t="n">
        <x:v>0.3113512173864306</x:v>
      </x:c>
      <x:c r="G32" t="n">
        <x:v>0.04843241159344474</x:v>
      </x:c>
      <x:c r="H32" t="n">
        <x:v>331.56875833207584</x:v>
      </x:c>
      <x:c r="I32" s="30" t="b">
        <x:v>0</x:v>
      </x:c>
      <x:c r="J32" t="n">
        <x:v>1.668403977487872</x:v>
      </x:c>
      <x:c r="K32" t="n">
        <x:v>0.5758720220599848</x:v>
      </x:c>
      <x:c r="L32" t="n">
        <x:v>1534.1977186383854</x:v>
      </x:c>
      <x:c r="M32" t="n">
        <x:v>337.25958298807853</x:v>
      </x:c>
      <x:c r="N32" t="n">
        <x:v>1.8521219295786762</x:v>
      </x:c>
      <x:c r="O32" t="n">
        <x:v>1.1551605602134485</x:v>
      </x:c>
      <x:c r="P32" t="n">
        <x:v>0.0014518647783814875</x:v>
      </x:c>
      <x:c r="Q32" t="n">
        <x:v>8.076053070680679</x:v>
      </x:c>
      <x:c r="R32" t="n">
        <x:v>2309.431262542146</x:v>
      </x:c>
      <x:c r="S32" t="n">
        <x:v>245.80847872704547</x:v>
      </x:c>
      <x:c r="T32" t="n">
        <x:v>1.1339292140543356</x:v>
      </x:c>
      <x:c r="U32" t="n">
        <x:v>3.804853968379919</x:v>
      </x:c>
      <x:c r="V32" t="n">
        <x:v>-188.9593905675151</x:v>
      </x:c>
      <x:c r="W32" t="n">
        <x:v>-140.4376095063804</x:v>
      </x:c>
      <x:c r="X32" t="n">
        <x:v>5.260301444758773</x:v>
      </x:c>
      <x:c r="Y32" t="n">
        <x:v>3.612367190516318</x:v>
      </x:c>
      <x:c r="Z32" t="n">
        <x:v>8.168891416801191</x:v>
      </x:c>
      <x:c r="AA32" t="n">
        <x:v>0</x:v>
      </x:c>
      <x:c r="AB32" t="n">
        <x:v>0</x:v>
      </x:c>
      <x:c r="AC32" t="n">
        <x:v>0</x:v>
      </x:c>
    </x:row>
    <x:row r="33">
      <x:c r="A33" t="n">
        <x:v>2057</x:v>
      </x:c>
      <x:c r="B33" t="n">
        <x:v>391.05731171643913</x:v>
      </x:c>
      <x:c r="C33" t="n">
        <x:v>1.5</x:v>
      </x:c>
      <x:c r="D33" t="n">
        <x:v>15.2</x:v>
      </x:c>
      <x:c r="E33" t="n">
        <x:v>0.24470028078421716</x:v>
      </x:c>
      <x:c r="F33" t="n">
        <x:v>0.3051860502146224</x:v>
      </x:c>
      <x:c r="G33" t="n">
        <x:v>0.04747338558894125</x:v>
      </x:c>
      <x:c r="H33" t="n">
        <x:v>346.52405805129166</x:v>
      </x:c>
      <x:c r="I33" s="30" t="b">
        <x:v>0</x:v>
      </x:c>
      <x:c r="J33" t="n">
        <x:v>1.6556160096840067</x:v>
      </x:c>
      <x:c r="K33" t="n">
        <x:v>0.5833293373658572</x:v>
      </x:c>
      <x:c r="L33" t="n">
        <x:v>1525.7537480300887</x:v>
      </x:c>
      <x:c r="M33" t="n">
        <x:v>337.1504293583408</x:v>
      </x:c>
      <x:c r="N33" t="n">
        <x:v>1.826415100741764</x:v>
      </x:c>
      <x:c r="O33" t="n">
        <x:v>1.1466628184931449</x:v>
      </x:c>
      <x:c r="P33" t="n">
        <x:v>0.0014513816959176883</x:v>
      </x:c>
      <x:c r="Q33" t="n">
        <x:v>8.07745877805594</x:v>
      </x:c>
      <x:c r="R33" t="n">
        <x:v>2309.671341683261</x:v>
      </x:c>
      <x:c r="S33" t="n">
        <x:v>250.73811877595986</x:v>
      </x:c>
      <x:c r="T33" t="n">
        <x:v>1.311436891501385</x:v>
      </x:c>
      <x:c r="U33" t="n">
        <x:v>3.754165980373561</x:v>
      </x:c>
      <x:c r="V33" t="n">
        <x:v>-191.40211965638727</x:v>
      </x:c>
      <x:c r="W33" t="n">
        <x:v>-141.75972678052818</x:v>
      </x:c>
      <x:c r="X33" t="n">
        <x:v>5.365795741805541</x:v>
      </x:c>
      <x:c r="Y33" t="n">
        <x:v>3.590788152037537</x:v>
      </x:c>
      <x:c r="Z33" t="n">
        <x:v>6.557261655369212</x:v>
      </x:c>
      <x:c r="AA33" t="n">
        <x:v>0</x:v>
      </x:c>
      <x:c r="AB33" t="n">
        <x:v>0</x:v>
      </x:c>
      <x:c r="AC33" t="n">
        <x:v>0</x:v>
      </x:c>
    </x:row>
    <x:row r="34">
      <x:c r="A34" t="n">
        <x:v>2058</x:v>
      </x:c>
      <x:c r="B34" t="n">
        <x:v>389.20697947168213</x:v>
      </x:c>
      <x:c r="C34" t="n">
        <x:v>1.5</x:v>
      </x:c>
      <x:c r="D34" t="n">
        <x:v>15.2</x:v>
      </x:c>
      <x:c r="E34" t="n">
        <x:v>0.2540275000787759</x:v>
      </x:c>
      <x:c r="F34" t="n">
        <x:v>0.2991429615321017</x:v>
      </x:c>
      <x:c r="G34" t="n">
        <x:v>0.04653334957166024</x:v>
      </x:c>
      <x:c r="H34" t="n">
        <x:v>361.47003055121286</x:v>
      </x:c>
      <x:c r="I34" s="30" t="b">
        <x:v>0</x:v>
      </x:c>
      <x:c r="J34" t="n">
        <x:v>1.6429545062639508</x:v>
      </x:c>
      <x:c r="K34" t="n">
        <x:v>0.5906480970782376</x:v>
      </x:c>
      <x:c r="L34" t="n">
        <x:v>1517.9000782978958</x:v>
      </x:c>
      <x:c r="M34" t="n">
        <x:v>337.04337331991957</x:v>
      </x:c>
      <x:c r="N34" t="n">
        <x:v>1.8010295117911084</x:v>
      </x:c>
      <x:c r="O34" t="n">
        <x:v>1.138433858062992</x:v>
      </x:c>
      <x:c r="P34" t="n">
        <x:v>0.0014486117837070045</x:v>
      </x:c>
      <x:c r="Q34" t="n">
        <x:v>8.078845032776785</x:v>
      </x:c>
      <x:c r="R34" t="n">
        <x:v>2309.8997120264976</x:v>
      </x:c>
      <x:c r="S34" t="n">
        <x:v>255.73322992309605</x:v>
      </x:c>
      <x:c r="T34" t="n">
        <x:v>1.4945606820453314</x:v>
      </x:c>
      <x:c r="U34" t="n">
        <x:v>3.702274549766808</x:v>
      </x:c>
      <x:c r="V34" t="n">
        <x:v>-193.60983352410875</x:v>
      </x:c>
      <x:c r="W34" t="n">
        <x:v>-142.93121328337926</x:v>
      </x:c>
      <x:c r="X34" t="n">
        <x:v>5.472691120354255</x:v>
      </x:c>
      <x:c r="Y34" t="n">
        <x:v>3.571129316659424</x:v>
      </x:c>
      <x:c r="Z34" t="n">
        <x:v>4.786845084781765</x:v>
      </x:c>
      <x:c r="AA34" t="n">
        <x:v>0</x:v>
      </x:c>
      <x:c r="AB34" t="n">
        <x:v>0</x:v>
      </x:c>
      <x:c r="AC34" t="n">
        <x:v>0</x:v>
      </x:c>
    </x:row>
    <x:row r="35">
      <x:c r="A35" t="n">
        <x:v>2059</x:v>
      </x:c>
      <x:c r="B35" t="n">
        <x:v>387.387502079104</x:v>
      </x:c>
      <x:c r="C35" t="n">
        <x:v>1.5</x:v>
      </x:c>
      <x:c r="D35" t="n">
        <x:v>15.2</x:v>
      </x:c>
      <x:c r="E35" t="n">
        <x:v>0.2632233666754927</x:v>
      </x:c>
      <x:c r="F35" t="n">
        <x:v>0.2932195340228198</x:v>
      </x:c>
      <x:c r="G35" t="n">
        <x:v>0.045611927514660845</x:v>
      </x:c>
      <x:c r="H35" t="n">
        <x:v>376.40680718453734</x:v>
      </x:c>
      <x:c r="I35" s="30" t="b">
        <x:v>0</x:v>
      </x:c>
      <x:c r="J35" t="n">
        <x:v>1.6304371521802699</x:v>
      </x:c>
      <x:c r="K35" t="n">
        <x:v>0.5978301791842375</x:v>
      </x:c>
      <x:c r="L35" t="n">
        <x:v>1510.586683943832</x:v>
      </x:c>
      <x:c r="M35" t="n">
        <x:v>336.9383956288579</x:v>
      </x:c>
      <x:c r="N35" t="n">
        <x:v>1.7759492767338791</x:v>
      </x:c>
      <x:c r="O35" t="n">
        <x:v>1.1304524868382486</x:v>
      </x:c>
      <x:c r="P35" t="n">
        <x:v>0.0014437869124163836</x:v>
      </x:c>
      <x:c r="Q35" t="n">
        <x:v>8.080212786980693</x:v>
      </x:c>
      <x:c r="R35" t="n">
        <x:v>2310.116944616668</x:v>
      </x:c>
      <x:c r="S35" t="n">
        <x:v>260.7942458187228</x:v>
      </x:c>
      <x:c r="T35" t="n">
        <x:v>1.6832066325788984</x:v>
      </x:c>
      <x:c r="U35" t="n">
        <x:v>3.648855729930755</x:v>
      </x:c>
      <x:c r="V35" t="n">
        <x:v>-195.5754826214606</x:v>
      </x:c>
      <x:c r="W35" t="n">
        <x:v>-143.95380041483475</x:v>
      </x:c>
      <x:c r="X35" t="n">
        <x:v>5.580996860520668</x:v>
      </x:c>
      <x:c r="Y35" t="n">
        <x:v>3.5531188282351196</x:v>
      </x:c>
      <x:c r="Z35" t="n">
        <x:v>2.854703954191852</x:v>
      </x:c>
      <x:c r="AA35" t="n">
        <x:v>0</x:v>
      </x:c>
      <x:c r="AB35" t="n">
        <x:v>0</x:v>
      </x:c>
      <x:c r="AC35" t="n">
        <x:v>0</x:v>
      </x:c>
    </x:row>
    <x:row r="36">
      <x:c r="A36" t="n">
        <x:v>2060</x:v>
      </x:c>
      <x:c r="B36" t="n">
        <x:v>385.5975382242576</x:v>
      </x:c>
      <x:c r="C36" t="n">
        <x:v>1.5</x:v>
      </x:c>
      <x:c r="D36" t="n">
        <x:v>15.2</x:v>
      </x:c>
      <x:c r="E36" t="n">
        <x:v>0.27229190949660664</x:v>
      </x:c>
      <x:c r="F36" t="n">
        <x:v>0.28741339823679296</x:v>
      </x:c>
      <x:c r="G36" t="n">
        <x:v>0.04470875083683445</x:v>
      </x:c>
      <x:c r="H36" t="n">
        <x:v>391.33451527504076</x:v>
      </x:c>
      <x:c r="I36" s="30" t="b">
        <x:v>0</x:v>
      </x:c>
      <x:c r="J36" t="n">
        <x:v>1.618073284911617</x:v>
      </x:c>
      <x:c r="K36" t="n">
        <x:v>0.6048775424566224</x:v>
      </x:c>
      <x:c r="L36" t="n">
        <x:v>1503.7677789189033</x:v>
      </x:c>
      <x:c r="M36" t="n">
        <x:v>336.8354772177488</x:v>
      </x:c>
      <x:c r="N36" t="n">
        <x:v>1.751160654292852</x:v>
      </x:c>
      <x:c r="O36" t="n">
        <x:v>1.1226991439514893</x:v>
      </x:c>
      <x:c r="P36" t="n">
        <x:v>0.0014371191981826699</x:v>
      </x:c>
      <x:c r="Q36" t="n">
        <x:v>8.081562872414887</x:v>
      </x:c>
      <x:c r="R36" t="n">
        <x:v>2310.3235826483988</x:v>
      </x:c>
      <x:c r="S36" t="n">
        <x:v>265.92160316765256</x:v>
      </x:c>
      <x:c r="T36" t="n">
        <x:v>1.8773373292321487</x:v>
      </x:c>
      <x:c r="U36" t="n">
        <x:v>3.593633024646314</x:v>
      </x:c>
      <x:c r="V36" t="n">
        <x:v>-197.29177831687477</x:v>
      </x:c>
      <x:c r="W36" t="n">
        <x:v>-144.82915956003947</x:v>
      </x:c>
      <x:c r="X36" t="n">
        <x:v>5.690722307787764</x:v>
      </x:c>
      <x:c r="Y36" t="n">
        <x:v>3.536538945562477</x:v>
      </x:c>
      <x:c r="Z36" t="n">
        <x:v>0.7576146710504017</x:v>
      </x:c>
      <x:c r="AA36" t="n">
        <x:v>0</x:v>
      </x:c>
      <x:c r="AB36" t="n">
        <x:v>0</x:v>
      </x:c>
      <x:c r="AC36" t="n">
        <x:v>0</x:v>
      </x:c>
    </x:row>
    <x:row r="37">
      <x:c r="A37" t="n">
        <x:v>2061</x:v>
      </x:c>
      <x:c r="B37" t="n">
        <x:v>383.8358953958785</x:v>
      </x:c>
      <x:c r="C37" t="n">
        <x:v>1.5</x:v>
      </x:c>
      <x:c r="D37" t="n">
        <x:v>15.2</x:v>
      </x:c>
      <x:c r="E37" t="n">
        <x:v>0.2812366452653347</x:v>
      </x:c>
      <x:c r="F37" t="n">
        <x:v>0.28172223164229054</x:v>
      </x:c>
      <x:c r="G37" t="n">
        <x:v>0.04382345825546741</x:v>
      </x:c>
      <x:c r="H37" t="n">
        <x:v>406.2532786297754</x:v>
      </x:c>
      <x:c r="I37" s="30" t="b">
        <x:v>0</x:v>
      </x:c>
      <x:c r="J37" t="n">
        <x:v>1.6058664579495412</x:v>
      </x:c>
      <x:c r="K37" t="n">
        <x:v>0.6117921771108221</x:v>
      </x:c>
      <x:c r="L37" t="n">
        <x:v>1497.4014573477593</x:v>
      </x:c>
      <x:c r="M37" t="n">
        <x:v>336.7345991941156</x:v>
      </x:c>
      <x:c r="N37" t="n">
        <x:v>1.7266516307051993</x:v>
      </x:c>
      <x:c r="O37" t="n">
        <x:v>1.1151557848952645</x:v>
      </x:c>
      <x:c r="P37" t="n">
        <x:v>0.0014288026263610063</x:v>
      </x:c>
      <x:c r="Q37" t="n">
        <x:v>8.08289602323403</x:v>
      </x:c>
      <x:c r="R37" t="n">
        <x:v>2310.520142824402</x:v>
      </x:c>
      <x:c r="S37" t="n">
        <x:v>271.1157418631134</x:v>
      </x:c>
      <x:c r="T37" t="n">
        <x:v>2.076956420419497</x:v>
      </x:c>
      <x:c r="U37" t="n">
        <x:v>3.5363652085900843</x:v>
      </x:c>
      <x:c r="V37" t="n">
        <x:v>-198.75118710504535</x:v>
      </x:c>
      <x:c r="W37" t="n">
        <x:v>-145.55890425330398</x:v>
      </x:c>
      <x:c r="X37" t="n">
        <x:v>5.801876875870626</x:v>
      </x:c>
      <x:c r="Y37" t="n">
        <x:v>3.5212129151690763</x:v>
      </x:c>
      <x:c r="Z37" t="n">
        <x:v>0</x:v>
      </x:c>
      <x:c r="AA37" t="n">
        <x:v>1.5078969962301398</x:v>
      </x:c>
      <x:c r="AB37" t="n">
        <x:v>0</x:v>
      </x:c>
      <x:c r="AC37" t="n">
        <x:v>0</x:v>
      </x:c>
    </x:row>
    <x:row r="38">
      <x:c r="A38" t="n">
        <x:v>2062</x:v>
      </x:c>
      <x:c r="B38" t="n">
        <x:v>382.10150248453175</x:v>
      </x:c>
      <x:c r="C38" t="n">
        <x:v>1.5</x:v>
      </x:c>
      <x:c r="D38" t="n">
        <x:v>15.2</x:v>
      </x:c>
      <x:c r="E38" t="n">
        <x:v>0.2900606703380259</x:v>
      </x:c>
      <x:c r="F38" t="n">
        <x:v>0.27614375769679156</x:v>
      </x:c>
      <x:c r="G38" t="n">
        <x:v>0.04295569564172312</x:v>
      </x:c>
      <x:c r="H38" t="n">
        <x:v>421.16321795943736</x:v>
      </x:c>
      <x:c r="I38" s="30" t="b">
        <x:v>0</x:v>
      </x:c>
      <x:c r="J38" t="n">
        <x:v>1.5938162802822167</x:v>
      </x:c>
      <x:c r="K38" t="n">
        <x:v>0.6185760709934724</x:v>
      </x:c>
      <x:c r="L38" t="n">
        <x:v>1491.449364700418</x:v>
      </x:c>
      <x:c r="M38" t="n">
        <x:v>336.6357428388072</x:v>
      </x:c>
      <x:c r="N38" t="n">
        <x:v>1.7024115868431353</x:v>
      </x:c>
      <x:c r="O38" t="n">
        <x:v>1.1078057730618571</x:v>
      </x:c>
      <x:c r="P38" t="n">
        <x:v>0.001419014542871473</x:v>
      </x:c>
      <x:c r="Q38" t="n">
        <x:v>8.084212894210943</x:v>
      </x:c>
      <x:c r="R38" t="n">
        <x:v>2310.7071166475007</x:v>
      </x:c>
      <x:c r="S38" t="n">
        <x:v>276.3771051202655</x:v>
      </x:c>
      <x:c r="T38" t="n">
        <x:v>2.282097233267999</x:v>
      </x:c>
      <x:c r="U38" t="n">
        <x:v>3.5069955934315558</x:v>
      </x:c>
      <x:c r="V38" t="n">
        <x:v>-199.9760854652089</x:v>
      </x:c>
      <x:c r="W38" t="n">
        <x:v>-146.15937778628467</x:v>
      </x:c>
      <x:c r="X38" t="n">
        <x:v>5.914470049573682</x:v>
      </x:c>
      <x:c r="Y38" t="n">
        <x:v>3.5069955934315558</x:v>
      </x:c>
      <x:c r="Z38" t="n">
        <x:v>0</x:v>
      </x:c>
      <x:c r="AA38" t="n">
        <x:v>2.407474456142126</x:v>
      </x:c>
      <x:c r="AB38" t="n">
        <x:v>0</x:v>
      </x:c>
      <x:c r="AC38" t="n">
        <x:v>0</x:v>
      </x:c>
    </x:row>
    <x:row r="39">
      <x:c r="A39" t="n">
        <x:v>2063</x:v>
      </x:c>
      <x:c r="B39" t="n">
        <x:v>380.39338797072753</x:v>
      </x:c>
      <x:c r="C39" t="n">
        <x:v>1.5</x:v>
      </x:c>
      <x:c r="D39" t="n">
        <x:v>15.2</x:v>
      </x:c>
      <x:c r="E39" t="n">
        <x:v>0.2987667360411287</x:v>
      </x:c>
      <x:c r="F39" t="n">
        <x:v>0.27067574493633717</x:v>
      </x:c>
      <x:c r="G39" t="n">
        <x:v>0.04210511587898577</x:v>
      </x:c>
      <x:c r="H39" t="n">
        <x:v>436.0644512233962</x:v>
      </x:c>
      <x:c r="I39" s="30" t="b">
        <x:v>0</x:v>
      </x:c>
      <x:c r="J39" t="n">
        <x:v>1.581919730454538</x:v>
      </x:c>
      <x:c r="K39" t="n">
        <x:v>0.6252311868853824</x:v>
      </x:c>
      <x:c r="L39" t="n">
        <x:v>1485.8763968307946</x:v>
      </x:c>
      <x:c r="M39" t="n">
        <x:v>336.5388896044077</x:v>
      </x:c>
      <x:c r="N39" t="n">
        <x:v>1.6784310326305787</x:v>
      </x:c>
      <x:c r="O39" t="n">
        <x:v>1.1006337775932389</x:v>
      </x:c>
      <x:c r="P39" t="n">
        <x:v>0.0014079170239328746</x:v>
      </x:c>
      <x:c r="Q39" t="n">
        <x:v>8.085514075287874</x:v>
      </x:c>
      <x:c r="R39" t="n">
        <x:v>2310.8849716496443</x:v>
      </x:c>
      <x:c r="S39" t="n">
        <x:v>281.7061396093264</x:v>
      </x:c>
      <x:c r="T39" t="n">
        <x:v>2.4928144245235764</x:v>
      </x:c>
      <x:c r="U39" t="n">
        <x:v>3.4937666125083306</x:v>
      </x:c>
      <x:c r="V39" t="n">
        <x:v>-200.97703765319366</x:v>
      </x:c>
      <x:c r="W39" t="n">
        <x:v>-146.64044634995707</x:v>
      </x:c>
      <x:c r="X39" t="n">
        <x:v>6.028511387639584</x:v>
      </x:c>
      <x:c r="Y39" t="n">
        <x:v>3.4937666125083306</x:v>
      </x:c>
      <x:c r="Z39" t="n">
        <x:v>0</x:v>
      </x:c>
      <x:c r="AA39" t="n">
        <x:v>2.5347447751312537</x:v>
      </x:c>
      <x:c r="AB39" t="n">
        <x:v>0</x:v>
      </x:c>
      <x:c r="AC39" t="n">
        <x:v>0</x:v>
      </x:c>
    </x:row>
    <x:row r="40">
      <x:c r="A40" t="n">
        <x:v>2064</x:v>
      </x:c>
      <x:c r="B40" t="n">
        <x:v>378.7106625458834</x:v>
      </x:c>
      <x:c r="C40" t="n">
        <x:v>1.5</x:v>
      </x:c>
      <x:c r="D40" t="n">
        <x:v>15.2</x:v>
      </x:c>
      <x:c r="E40" t="n">
        <x:v>0.3073573099694012</x:v>
      </x:c>
      <x:c r="F40" t="n">
        <x:v>0.2653160060829154</x:v>
      </x:c>
      <x:c r="G40" t="n">
        <x:v>0.041271378724009045</x:v>
      </x:c>
      <x:c r="H40" t="n">
        <x:v>450.9570939134268</x:v>
      </x:c>
      <x:c r="I40" s="30" t="b">
        <x:v>0</x:v>
      </x:c>
      <x:c r="J40" t="n">
        <x:v>1.5701720900698466</x:v>
      </x:c>
      <x:c r="K40" t="n">
        <x:v>0.6317594477169244</x:v>
      </x:c>
      <x:c r="L40" t="n">
        <x:v>1480.6504245204385</x:v>
      </x:c>
      <x:c r="M40" t="n">
        <x:v>336.4440211136611</x:v>
      </x:c>
      <x:c r="N40" t="n">
        <x:v>1.6547013951524276</x:v>
      </x:c>
      <x:c r="O40" t="n">
        <x:v>1.0936256774049067</x:v>
      </x:c>
      <x:c r="P40" t="n">
        <x:v>0.0013956581340818397</x:v>
      </x:c>
      <x:c r="Q40" t="n">
        <x:v>8.08680010320869</x:v>
      </x:c>
      <x:c r="R40" t="n">
        <x:v>2311.0541525609774</x:v>
      </x:c>
      <x:c r="S40" t="n">
        <x:v>287.103295588272</x:v>
      </x:c>
      <x:c r="T40" t="n">
        <x:v>2.7091778764520473</x:v>
      </x:c>
      <x:c r="U40" t="n">
        <x:v>3.4814253128493613</x:v>
      </x:c>
      <x:c r="V40" t="n">
        <x:v>-201.74928508959098</x:v>
      </x:c>
      <x:c r="W40" t="n">
        <x:v>-147.00431944792146</x:v>
      </x:c>
      <x:c r="X40" t="n">
        <x:v>6.14401052558902</x:v>
      </x:c>
      <x:c r="Y40" t="n">
        <x:v>3.4814253128493613</x:v>
      </x:c>
      <x:c r="Z40" t="n">
        <x:v>0</x:v>
      </x:c>
      <x:c r="AA40" t="n">
        <x:v>2.6625852127396588</x:v>
      </x:c>
      <x:c r="AB40" t="n">
        <x:v>0</x:v>
      </x:c>
      <x:c r="AC40" t="n">
        <x:v>0</x:v>
      </x:c>
    </x:row>
    <x:row r="41">
      <x:c r="A41" t="n">
        <x:v>2065</x:v>
      </x:c>
      <x:c r="B41" t="n">
        <x:v>377.05250524926066</x:v>
      </x:c>
      <x:c r="C41" t="n">
        <x:v>1.5</x:v>
      </x:c>
      <x:c r="D41" t="n">
        <x:v>15.2</x:v>
      </x:c>
      <x:c r="E41" t="n">
        <x:v>0.31583462555870473</x:v>
      </x:c>
      <x:c r="F41" t="n">
        <x:v>0.2600623971695207</x:v>
      </x:c>
      <x:c r="G41" t="n">
        <x:v>0.040454150670814315</x:v>
      </x:c>
      <x:c r="H41" t="n">
        <x:v>465.84125928786807</x:v>
      </x:c>
      <x:c r="I41" s="30" t="b">
        <x:v>0</x:v>
      </x:c>
      <x:c r="J41" t="n">
        <x:v>1.5585676022943202</x:v>
      </x:c>
      <x:c r="K41" t="n">
        <x:v>0.638162727379734</x:v>
      </x:c>
      <x:c r="L41" t="n">
        <x:v>1475.7420413660218</x:v>
      </x:c>
      <x:c r="M41" t="n">
        <x:v>336.35111915791003</x:v>
      </x:c>
      <x:c r="N41" t="n">
        <x:v>1.6312148495920658</x:v>
      </x:c>
      <x:c r="O41" t="n">
        <x:v>1.0867684712078984</x:v>
      </x:c>
      <x:c r="P41" t="n">
        <x:v>0.0013823730815782803</x:v>
      </x:c>
      <x:c r="Q41" t="n">
        <x:v>8.088071470823033</x:v>
      </x:c>
      <x:c r="R41" t="n">
        <x:v>2311.2150824219016</x:v>
      </x:c>
      <x:c r="S41" t="n">
        <x:v>292.569027035084</x:v>
      </x:c>
      <x:c r="T41" t="n">
        <x:v>2.9312682503599317</x:v>
      </x:c>
      <x:c r="U41" t="n">
        <x:v>3.469886928484746</x:v>
      </x:c>
      <x:c r="V41" t="n">
        <x:v>-202.2879037677158</x:v>
      </x:c>
      <x:c r="W41" t="n">
        <x:v>-147.2531333894192</x:v>
      </x:c>
      <x:c r="X41" t="n">
        <x:v>6.260977178550797</x:v>
      </x:c>
      <x:c r="Y41" t="n">
        <x:v>3.469886928484746</x:v>
      </x:c>
      <x:c r="Z41" t="n">
        <x:v>0</x:v>
      </x:c>
      <x:c r="AA41" t="n">
        <x:v>2.791090250066051</x:v>
      </x:c>
      <x:c r="AB41" t="n">
        <x:v>0</x:v>
      </x:c>
      <x:c r="AC41" t="n">
        <x:v>0</x:v>
      </x:c>
    </x:row>
    <x:row r="42">
      <x:c r="A42" t="n">
        <x:v>2066</x:v>
      </x:c>
      <x:c r="B42" t="n">
        <x:v>375.4181523940536</x:v>
      </x:c>
      <x:c r="C42" t="n">
        <x:v>1.5</x:v>
      </x:c>
      <x:c r="D42" t="n">
        <x:v>15.2</x:v>
      </x:c>
      <x:c r="E42" t="n">
        <x:v>0.324200722004042</x:v>
      </x:c>
      <x:c r="F42" t="n">
        <x:v>0.2549128166825386</x:v>
      </x:c>
      <x:c r="G42" t="n">
        <x:v>0.03965310481728378</x:v>
      </x:c>
      <x:c r="H42" t="n">
        <x:v>480.717058565864</x:v>
      </x:c>
      <x:c r="I42" s="30" t="b">
        <x:v>0</x:v>
      </x:c>
      <x:c r="J42" t="n">
        <x:v>1.5470999321867467</x:v>
      </x:c>
      <x:c r="K42" t="n">
        <x:v>0.6444428454636901</x:v>
      </x:c>
      <x:c r="L42" t="n">
        <x:v>1471.1243330322955</x:v>
      </x:c>
      <x:c r="M42" t="n">
        <x:v>336.26016569554906</x:v>
      </x:c>
      <x:c r="N42" t="n">
        <x:v>1.6079641843232892</x:v>
      </x:c>
      <x:c r="O42" t="n">
        <x:v>1.0800501933227713</x:v>
      </x:c>
      <x:c r="P42" t="n">
        <x:v>0.0013681852795470663</x:v>
      </x:c>
      <x:c r="Q42" t="n">
        <x:v>8.089328634533803</x:v>
      </x:c>
      <x:c r="R42" t="n">
        <x:v>2311.3681636408933</x:v>
      </x:c>
      <x:c r="S42" t="n">
        <x:v>298.1037917795149</x:v>
      </x:c>
      <x:c r="T42" t="n">
        <x:v>3.159173761525613</x:v>
      </x:c>
      <x:c r="U42" t="n">
        <x:v>3.459079677864568</x:v>
      </x:c>
      <x:c r="V42" t="n">
        <x:v>-202.58780968405475</x:v>
      </x:c>
      <x:c r="W42" t="n">
        <x:v>-147.38895790438644</x:v>
      </x:c>
      <x:c r="X42" t="n">
        <x:v>6.379421144081618</x:v>
      </x:c>
      <x:c r="Y42" t="n">
        <x:v>3.459079677864568</x:v>
      </x:c>
      <x:c r="Z42" t="n">
        <x:v>0</x:v>
      </x:c>
      <x:c r="AA42" t="n">
        <x:v>2.9203414662170504</x:v>
      </x:c>
      <x:c r="AB42" t="n">
        <x:v>0</x:v>
      </x:c>
      <x:c r="AC42" t="n">
        <x:v>0</x:v>
      </x:c>
    </x:row>
    <x:row r="43">
      <x:c r="A43" t="n">
        <x:v>2067</x:v>
      </x:c>
      <x:c r="B43" t="n">
        <x:v>373.80688870647475</x:v>
      </x:c>
      <x:c r="C43" t="n">
        <x:v>1.5</x:v>
      </x:c>
      <x:c r="D43" t="n">
        <x:v>15.2</x:v>
      </x:c>
      <x:c r="E43" t="n">
        <x:v>0.3324574763149063</x:v>
      </x:c>
      <x:c r="F43" t="n">
        <x:v>0.24986520472111248</x:v>
      </x:c>
      <x:c r="G43" t="n">
        <x:v>0.03886792073439526</x:v>
      </x:c>
      <x:c r="H43" t="n">
        <x:v>495.5846010895491</x:v>
      </x:c>
      <x:c r="I43" s="30" t="b">
        <x:v>0</x:v>
      </x:c>
      <x:c r="J43" t="n">
        <x:v>1.5357624846811495</x:v>
      </x:c>
      <x:c r="K43" t="n">
        <x:v>0.6506015647172507</x:v>
      </x:c>
      <x:c r="L43" t="n">
        <x:v>1466.772666059879</x:v>
      </x:c>
      <x:c r="M43" t="n">
        <x:v>336.171142850492</x:v>
      </x:c>
      <x:c r="N43" t="n">
        <x:v>1.5849426932338677</x:v>
      </x:c>
      <x:c r="O43" t="n">
        <x:v>1.0734598350565387</x:v>
      </x:c>
      <x:c r="P43" t="n">
        <x:v>0.001353207320538418</x:v>
      </x:c>
      <x:c r="Q43" t="n">
        <x:v>8.090572020264057</x:v>
      </x:c>
      <x:c r="R43" t="n">
        <x:v>2311.513779000737</x:v>
      </x:c>
      <x:c r="S43" t="n">
        <x:v>303.7080516343459</x:v>
      </x:c>
      <x:c r="T43" t="n">
        <x:v>3.392987852133995</x:v>
      </x:c>
      <x:c r="U43" t="n">
        <x:v>3.4489425209895423</x:v>
      </x:c>
      <x:c r="V43" t="n">
        <x:v>-202.6437643529103</x:v>
      </x:c>
      <x:c r="W43" t="n">
        <x:v>-147.41380234870954</x:v>
      </x:c>
      <x:c r="X43" t="n">
        <x:v>6.499352304975002</x:v>
      </x:c>
      <x:c r="Y43" t="n">
        <x:v>3.4489425209895423</x:v>
      </x:c>
      <x:c r="Z43" t="n">
        <x:v>0</x:v>
      </x:c>
      <x:c r="AA43" t="n">
        <x:v>3.0504097839854594</x:v>
      </x:c>
      <x:c r="AB43" t="n">
        <x:v>0</x:v>
      </x:c>
      <x:c r="AC43" t="n">
        <x:v>0</x:v>
      </x:c>
    </x:row>
    <x:row r="44">
      <x:c r="A44" t="n">
        <x:v>2068</x:v>
      </x:c>
      <x:c r="B44" t="n">
        <x:v>372.2180402211028</x:v>
      </x:c>
      <x:c r="C44" t="n">
        <x:v>1.5</x:v>
      </x:c>
      <x:c r="D44" t="n">
        <x:v>15.2</x:v>
      </x:c>
      <x:c r="E44" t="n">
        <x:v>0.34060662902221794</x:v>
      </x:c>
      <x:c r="F44" t="n">
        <x:v>0.2449175421731552</x:v>
      </x:c>
      <x:c r="G44" t="n">
        <x:v>0.03809828433804636</x:v>
      </x:c>
      <x:c r="H44" t="n">
        <x:v>510.4439944605269</x:v>
      </x:c>
      <x:c r="I44" s="30" t="b">
        <x:v>0</x:v>
      </x:c>
      <x:c r="J44" t="n">
        <x:v>1.5245486207254726</x:v>
      </x:c>
      <x:c r="K44" t="n">
        <x:v>0.656640590369813</x:v>
      </x:c>
      <x:c r="L44" t="n">
        <x:v>1462.6644945706953</x:v>
      </x:c>
      <x:c r="M44" t="n">
        <x:v>336.0840329106535</x:v>
      </x:c>
      <x:c r="N44" t="n">
        <x:v>1.5621440897568677</x:v>
      </x:c>
      <x:c r="O44" t="n">
        <x:v>1.0669872713975206</x:v>
      </x:c>
      <x:c r="P44" t="n">
        <x:v>0.0013375418715500197</x:v>
      </x:c>
      <x:c r="Q44" t="n">
        <x:v>8.091802028243217</x:v>
      </x:c>
      <x:c r="R44" t="n">
        <x:v>2311.652292615679</x:v>
      </x:c>
      <x:c r="S44" t="n">
        <x:v>309.3822725261146</x:v>
      </x:c>
      <x:c r="T44" t="n">
        <x:v>3.6328075228256798</x:v>
      </x:c>
      <x:c r="U44" t="n">
        <x:v>3.4394234151555203</x:v>
      </x:c>
      <x:c r="V44" t="n">
        <x:v>-202.45038024524013</x:v>
      </x:c>
      <x:c r="W44" t="n">
        <x:v>-147.32962144827417</x:v>
      </x:c>
      <x:c r="X44" t="n">
        <x:v>6.620780632058852</x:v>
      </x:c>
      <x:c r="Y44" t="n">
        <x:v>3.4394234151555203</x:v>
      </x:c>
      <x:c r="Z44" t="n">
        <x:v>0</x:v>
      </x:c>
      <x:c r="AA44" t="n">
        <x:v>3.181357216903332</x:v>
      </x:c>
      <x:c r="AB44" t="n">
        <x:v>0</x:v>
      </x:c>
      <x:c r="AC44" t="n">
        <x:v>0</x:v>
      </x:c>
    </x:row>
    <x:row r="45">
      <x:c r="A45" t="n">
        <x:v>2069</x:v>
      </x:c>
      <x:c r="B45" t="n">
        <x:v>370.6509685704275</x:v>
      </x:c>
      <x:c r="C45" t="n">
        <x:v>1.5</x:v>
      </x:c>
      <x:c r="D45" t="n">
        <x:v>15.2</x:v>
      </x:c>
      <x:c r="E45" t="n">
        <x:v>0.3486498047937805</x:v>
      </x:c>
      <x:c r="F45" t="n">
        <x:v>0.240067849907678</x:v>
      </x:c>
      <x:c r="G45" t="n">
        <x:v>0.03734388776341657</x:v>
      </x:c>
      <x:c r="H45" t="n">
        <x:v>525.2953446557331</x:v>
      </x:c>
      <x:c r="I45" s="30" t="b">
        <x:v>0</x:v>
      </x:c>
      <x:c r="J45" t="n">
        <x:v>1.5134518009059292</x:v>
      </x:c>
      <x:c r="K45" t="n">
        <x:v>0.6625615707016004</x:v>
      </x:c>
      <x:c r="L45" t="n">
        <x:v>1458.7791833543008</x:v>
      </x:c>
      <x:c r="M45" t="n">
        <x:v>335.9988183264444</x:v>
      </x:c>
      <x:c r="N45" t="n">
        <x:v>1.5395624382032143</x:v>
      </x:c>
      <x:c r="O45" t="n">
        <x:v>1.0606231927726442</x:v>
      </x:c>
      <x:c r="P45" t="n">
        <x:v>0.0013212824959825654</x:v>
      </x:c>
      <x:c r="Q45" t="n">
        <x:v>8.09301903685167</x:v>
      </x:c>
      <x:c r="R45" t="n">
        <x:v>2311.7840508419063</x:v>
      </x:c>
      <x:c r="S45" t="n">
        <x:v>315.1269246252917</x:v>
      </x:c>
      <x:c r="T45" t="n">
        <x:v>3.8787321459493667</x:v>
      </x:c>
      <x:c r="U45" t="n">
        <x:v>3.4304779501055727</x:v>
      </x:c>
      <x:c r="V45" t="n">
        <x:v>-202.00212604939634</x:v>
      </x:c>
      <x:c r="W45" t="n">
        <x:v>-147.13832056393838</x:v>
      </x:c>
      <x:c r="X45" t="n">
        <x:v>6.743716186981241</x:v>
      </x:c>
      <x:c r="Y45" t="n">
        <x:v>3.4304779501055727</x:v>
      </x:c>
      <x:c r="Z45" t="n">
        <x:v>0</x:v>
      </x:c>
      <x:c r="AA45" t="n">
        <x:v>3.3132382368756685</x:v>
      </x:c>
      <x:c r="AB45" t="n">
        <x:v>0</x:v>
      </x:c>
      <x:c r="AC45" t="n">
        <x:v>0</x:v>
      </x:c>
    </x:row>
    <x:row r="46">
      <x:c r="A46" t="n">
        <x:v>2070</x:v>
      </x:c>
      <x:c r="B46" t="n">
        <x:v>369.10506638155977</x:v>
      </x:c>
      <x:c r="C46" t="n">
        <x:v>1.5</x:v>
      </x:c>
      <x:c r="D46" t="n">
        <x:v>15.2</x:v>
      </x:c>
      <x:c r="E46" t="n">
        <x:v>0.3565885289873491</x:v>
      </x:c>
      <x:c r="F46" t="n">
        <x:v>0.23531418798311124</x:v>
      </x:c>
      <x:c r="G46" t="n">
        <x:v>0.03660442924181729</x:v>
      </x:c>
      <x:c r="H46" t="n">
        <x:v>540.1387561267458</x:v>
      </x:c>
      <x:c r="I46" s="30" t="b">
        <x:v>0</x:v>
      </x:c>
      <x:c r="J46" t="n">
        <x:v>1.5024656777487824</x:v>
      </x:c>
      <x:c r="K46" t="n">
        <x:v>0.6683660984251131</x:v>
      </x:c>
      <x:c r="L46" t="n">
        <x:v>1455.0978459469</x:v>
      </x:c>
      <x:c r="M46" t="n">
        <x:v>335.915481709281</x:v>
      </x:c>
      <x:c r="N46" t="n">
        <x:v>1.5171920988809218</x:v>
      </x:c>
      <x:c r="O46" t="n">
        <x:v>1.0543590416061874</x:v>
      </x:c>
      <x:c r="P46" t="n">
        <x:v>0.0013045144084913036</x:v>
      </x:c>
      <x:c r="Q46" t="n">
        <x:v>8.094223405714418</x:v>
      </x:c>
      <x:c r="R46" t="n">
        <x:v>2311.9093831436135</x:v>
      </x:c>
      <x:c r="S46" t="n">
        <x:v>320.94248247588814</x:v>
      </x:c>
      <x:c r="T46" t="n">
        <x:v>4.130862630000179</x:v>
      </x:c>
      <x:c r="U46" t="n">
        <x:v>3.422068276872849</x:v>
      </x:c>
      <x:c r="V46" t="n">
        <x:v>-201.293331696269</x:v>
      </x:c>
      <x:c r="W46" t="n">
        <x:v>-146.84176048310266</x:v>
      </x:c>
      <x:c r="X46" t="n">
        <x:v>6.868169124984006</x:v>
      </x:c>
      <x:c r="Y46" t="n">
        <x:v>3.422068276872849</x:v>
      </x:c>
      <x:c r="Z46" t="n">
        <x:v>0</x:v>
      </x:c>
      <x:c r="AA46" t="n">
        <x:v>3.4461008481111572</x:v>
      </x:c>
      <x:c r="AB46" t="n">
        <x:v>0</x:v>
      </x:c>
      <x:c r="AC46" t="n">
        <x:v>0</x:v>
      </x:c>
    </x:row>
    <x:row r="47">
      <x:c r="A47" t="n">
        <x:v>2071</x:v>
      </x:c>
      <x:c r="B47" t="n">
        <x:v>367.5797535525539</x:v>
      </x:c>
      <x:c r="C47" t="n">
        <x:v>1.5</x:v>
      </x:c>
      <x:c r="D47" t="n">
        <x:v>15.2</x:v>
      </x:c>
      <x:c r="E47" t="n">
        <x:v>0.3644242409747996</x:v>
      </x:c>
      <x:c r="F47" t="n">
        <x:v>0.23065465487130205</x:v>
      </x:c>
      <x:c r="G47" t="n">
        <x:v>0.03587961297998031</x:v>
      </x:c>
      <x:c r="H47" t="n">
        <x:v>554.974331885771</x:v>
      </x:c>
      <x:c r="I47" s="30" t="b">
        <x:v>0</x:v>
      </x:c>
      <x:c r="J47" t="n">
        <x:v>1.4915841519720707</x:v>
      </x:c>
      <x:c r="K47" t="n">
        <x:v>0.6740557125709862</x:v>
      </x:c>
      <x:c r="L47" t="n">
        <x:v>1451.6031964324764</x:v>
      </x:c>
      <x:c r="M47" t="n">
        <x:v>335.83400583010774</x:v>
      </x:c>
      <x:c r="N47" t="n">
        <x:v>1.4950276841984484</x:v>
      </x:c>
      <x:c r="O47" t="n">
        <x:v>1.0481869534173631</x:v>
      </x:c>
      <x:c r="P47" t="n">
        <x:v>0.0012873151681730604</x:v>
      </x:c>
      <x:c r="Q47" t="n">
        <x:v>8.095415478195706</x:v>
      </x:c>
      <x:c r="R47" t="n">
        <x:v>2312.028602916838</x:v>
      </x:c>
      <x:c r="S47" t="n">
        <x:v>326.82942512447704</x:v>
      </x:c>
      <x:c r="T47" t="n">
        <x:v>4.3893008391297315</x:v>
      </x:c>
      <x:c r="U47" t="n">
        <x:v>3.4141622682096924</x:v>
      </x:c>
      <x:c r="V47" t="n">
        <x:v>-200.31819312534896</x:v>
      </x:c>
      <x:c r="W47" t="n">
        <x:v>-146.44176175930716</x:v>
      </x:c>
      <x:c r="X47" t="n">
        <x:v>6.994149697663809</x:v>
      </x:c>
      <x:c r="Y47" t="n">
        <x:v>3.4141622682096924</x:v>
      </x:c>
      <x:c r="Z47" t="n">
        <x:v>0</x:v>
      </x:c>
      <x:c r="AA47" t="n">
        <x:v>3.5799874294541163</x:v>
      </x:c>
      <x:c r="AB47" t="n">
        <x:v>0</x:v>
      </x:c>
      <x:c r="AC47" t="n">
        <x:v>0</x:v>
      </x:c>
    </x:row>
    <x:row r="48">
      <x:c r="A48" t="n">
        <x:v>2072</x:v>
      </x:c>
      <x:c r="B48" t="n">
        <x:v>366.07447422792984</x:v>
      </x:c>
      <x:c r="C48" t="n">
        <x:v>1.5</x:v>
      </x:c>
      <x:c r="D48" t="n">
        <x:v>15.2</x:v>
      </x:c>
      <x:c r="E48" t="n">
        <x:v>0.37215830490665053</x:v>
      </x:c>
      <x:c r="F48" t="n">
        <x:v>0.22608738669687775</x:v>
      </x:c>
      <x:c r="G48" t="n">
        <x:v>0.035169149041736535</x:v>
      </x:c>
      <x:c r="H48" t="n">
        <x:v>569.8021735808643</x:v>
      </x:c>
      <x:c r="I48" s="30" t="b">
        <x:v>0</x:v>
      </x:c>
      <x:c r="J48" t="n">
        <x:v>1.4808014036605166</x:v>
      </x:c>
      <x:c r="K48" t="n">
        <x:v>0.6796319006637622</x:v>
      </x:c>
      <x:c r="L48" t="n">
        <x:v>1448.2794138031504</x:v>
      </x:c>
      <x:c r="M48" t="n">
        <x:v>335.75437361793394</x:v>
      </x:c>
      <x:c r="N48" t="n">
        <x:v>1.4730640235177532</x:v>
      </x:c>
      <x:c r="O48" t="n">
        <x:v>1.0420997021957963</x:v>
      </x:c>
      <x:c r="P48" t="n">
        <x:v>0.001269755315142055</x:v>
      </x:c>
      <x:c r="Q48" t="n">
        <x:v>8.096595583415752</x:v>
      </x:c>
      <x:c r="R48" t="n">
        <x:v>2312.142008273111</x:v>
      </x:c>
      <x:c r="S48" t="n">
        <x:v>332.78823624861536</x:v>
      </x:c>
      <x:c r="T48" t="n">
        <x:v>4.654149197092003</x:v>
      </x:c>
      <x:c r="U48" t="n">
        <x:v>3.406732865512015</x:v>
      </x:c>
      <x:c r="V48" t="n">
        <x:v>-199.07077679376897</x:v>
      </x:c>
      <x:c r="W48" t="n">
        <x:v>-145.9401086312554</x:v>
      </x:c>
      <x:c r="X48" t="n">
        <x:v>7.121668255720368</x:v>
      </x:c>
      <x:c r="Y48" t="n">
        <x:v>3.406732865512015</x:v>
      </x:c>
      <x:c r="Z48" t="n">
        <x:v>0</x:v>
      </x:c>
      <x:c r="AA48" t="n">
        <x:v>3.7149353902083533</x:v>
      </x:c>
      <x:c r="AB48" t="n">
        <x:v>0</x:v>
      </x:c>
      <x:c r="AC48" t="n">
        <x:v>0</x:v>
      </x:c>
    </x:row>
    <x:row r="49">
      <x:c r="A49" t="n">
        <x:v>2073</x:v>
      </x:c>
      <x:c r="B49" t="n">
        <x:v>364.58869433035113</x:v>
      </x:c>
      <x:c r="C49" t="n">
        <x:v>1.5</x:v>
      </x:c>
      <x:c r="D49" t="n">
        <x:v>15.2</x:v>
      </x:c>
      <x:c r="E49" t="n">
        <x:v>0.3797920184505998</x:v>
      </x:c>
      <x:c r="F49" t="n">
        <x:v>0.22161055649167094</x:v>
      </x:c>
      <x:c r="G49" t="n">
        <x:v>0.03447275323203769</x:v>
      </x:c>
      <x:c r="H49" t="n">
        <x:v>584.6223815624137</x:v>
      </x:c>
      <x:c r="I49" s="30" t="b">
        <x:v>0</x:v>
      </x:c>
      <x:c r="J49" t="n">
        <x:v>1.4701119062193058</x:v>
      </x:c>
      <x:c r="K49" t="n">
        <x:v>0.6850961010395398</x:v>
      </x:c>
      <x:c r="L49" t="n">
        <x:v>1445.1120178144224</x:v>
      </x:c>
      <x:c r="M49" t="n">
        <x:v>335.6765681583834</x:v>
      </x:c>
      <x:c r="N49" t="n">
        <x:v>1.451296134975891</x:v>
      </x:c>
      <x:c r="O49" t="n">
        <x:v>1.0360906497982763</x:v>
      </x:c>
      <x:c r="P49" t="n">
        <x:v>0.00125189895505729</x:v>
      </x:c>
      <x:c r="Q49" t="n">
        <x:v>8.09776403788614</x:v>
      </x:c>
      <x:c r="R49" t="n">
        <x:v>2312.2498827848945</x:v>
      </x:c>
      <x:c r="S49" t="n">
        <x:v>338.81940428465356</x:v>
      </x:c>
      <x:c r="T49" t="n">
        <x:v>4.925510423830236</x:v>
      </x:c>
      <x:c r="U49" t="n">
        <x:v>3.3997575797199695</x:v>
      </x:c>
      <x:c r="V49" t="n">
        <x:v>-197.5450239496587</x:v>
      </x:c>
      <x:c r="W49" t="n">
        <x:v>-145.33855255851947</x:v>
      </x:c>
      <x:c r="X49" t="n">
        <x:v>7.2507352516915855</x:v>
      </x:c>
      <x:c r="Y49" t="n">
        <x:v>3.3997575797199695</x:v>
      </x:c>
      <x:c r="Z49" t="n">
        <x:v>0</x:v>
      </x:c>
      <x:c r="AA49" t="n">
        <x:v>3.850977671971616</x:v>
      </x:c>
      <x:c r="AB49" t="n">
        <x:v>0</x:v>
      </x:c>
      <x:c r="AC49" t="n">
        <x:v>0</x:v>
      </x:c>
    </x:row>
    <x:row r="50">
      <x:c r="A50" t="n">
        <x:v>2074</x:v>
      </x:c>
      <x:c r="B50" t="n">
        <x:v>363.1218995350306</x:v>
      </x:c>
      <x:c r="C50" t="n">
        <x:v>1.5</x:v>
      </x:c>
      <x:c r="D50" t="n">
        <x:v>15.2</x:v>
      </x:c>
      <x:c r="E50" t="n">
        <x:v>0.3873266199272615</x:v>
      </x:c>
      <x:c r="F50" t="n">
        <x:v>0.2172223734639076</x:v>
      </x:c>
      <x:c r="G50" t="n">
        <x:v>0.03379014698327451</x:v>
      </x:c>
      <x:c r="H50" t="n">
        <x:v>599.4350549424864</x:v>
      </x:c>
      <x:c r="I50" s="30" t="b">
        <x:v>0</x:v>
      </x:c>
      <x:c r="J50" t="n">
        <x:v>1.459510428706056</x:v>
      </x:c>
      <x:c r="K50" t="n">
        <x:v>0.6904497052049019</x:v>
      </x:c>
      <x:c r="L50" t="n">
        <x:v>1442.087755361157</x:v>
      </x:c>
      <x:c r="M50" t="n">
        <x:v>335.60057269225786</x:v>
      </x:c>
      <x:c r="N50" t="n">
        <x:v>1.4297192028555346</x:v>
      </x:c>
      <x:c r="O50" t="n">
        <x:v>1.0301536991165126</x:v>
      </x:c>
      <x:c r="P50" t="n">
        <x:v>0.0012338042958914032</x:v>
      </x:c>
      <x:c r="Q50" t="n">
        <x:v>8.098921146840754</x:v>
      </x:c>
      <x:c r="R50" t="n">
        <x:v>2312.352496194656</x:v>
      </x:c>
      <x:c r="S50" t="n">
        <x:v>344.9234225549236</x:v>
      </x:c>
      <x:c r="T50" t="n">
        <x:v>5.20348736682444</x:v>
      </x:c>
      <x:c r="U50" t="n">
        <x:v>3.3932181232657</x:v>
      </x:c>
      <x:c r="V50" t="n">
        <x:v>-195.73475470609998</x:v>
      </x:c>
      <x:c r="W50" t="n">
        <x:v>-144.6388154142557</x:v>
      </x:c>
      <x:c r="X50" t="n">
        <x:v>7.381361242675364</x:v>
      </x:c>
      <x:c r="Y50" t="n">
        <x:v>3.3932181232657</x:v>
      </x:c>
      <x:c r="Z50" t="n">
        <x:v>0</x:v>
      </x:c>
      <x:c r="AA50" t="n">
        <x:v>3.9881431194096644</x:v>
      </x:c>
      <x:c r="AB50" t="n">
        <x:v>0</x:v>
      </x:c>
      <x:c r="AC50" t="n">
        <x:v>0</x:v>
      </x:c>
    </x:row>
    <x:row r="51">
      <x:c r="A51" t="n">
        <x:v>2075</x:v>
      </x:c>
      <x:c r="B51" t="n">
        <x:v>361.6735935969113</x:v>
      </x:c>
      <x:c r="C51" t="n">
        <x:v>1.5</x:v>
      </x:c>
      <x:c r="D51" t="n">
        <x:v>15.2</x:v>
      </x:c>
      <x:c r="E51" t="n">
        <x:v>0.3947632941772147</x:v>
      </x:c>
      <x:c r="F51" t="n">
        <x:v>0.21292108228186674</x:v>
      </x:c>
      <x:c r="G51" t="n">
        <x:v>0.03312105724384593</x:v>
      </x:c>
      <x:c r="H51" t="n">
        <x:v>614.2402916483093</x:v>
      </x:c>
      <x:c r="I51" s="30" t="b">
        <x:v>0</x:v>
      </x:c>
      <x:c r="J51" t="n">
        <x:v>1.4489920305106943</x:v>
      </x:c>
      <x:c r="K51" t="n">
        <x:v>0.6956940601702459</x:v>
      </x:c>
      <x:c r="L51" t="n">
        <x:v>1439.1944964827217</x:v>
      </x:c>
      <x:c r="M51" t="n">
        <x:v>335.5263706141129</x:v>
      </x:c>
      <x:c r="N51" t="n">
        <x:v>1.4083285593731587</x:v>
      </x:c>
      <x:c r="O51" t="n">
        <x:v>1.024283250773595</x:v>
      </x:c>
      <x:c r="P51" t="n">
        <x:v>0.0012155241407810814</x:v>
      </x:c>
      <x:c r="Q51" t="n">
        <x:v>8.100067205323604</x:v>
      </x:c>
      <x:c r="R51" t="n">
        <x:v>2312.45010508937</x:v>
      </x:c>
      <x:c r="S51" t="n">
        <x:v>351.100789394296</x:v>
      </x:c>
      <x:c r="T51" t="n">
        <x:v>5.488182899576797</x:v>
      </x:c>
      <x:c r="U51" t="n">
        <x:v>3.387100157769186</x:v>
      </x:c>
      <x:c r="V51" t="n">
        <x:v>-193.63367196429238</x:v>
      </x:c>
      <x:c r="W51" t="n">
        <x:v>-143.84259237659367</x:v>
      </x:c>
      <x:c r="X51" t="n">
        <x:v>7.513556893037934</x:v>
      </x:c>
      <x:c r="Y51" t="n">
        <x:v>3.387100157769186</x:v>
      </x:c>
      <x:c r="Z51" t="n">
        <x:v>0</x:v>
      </x:c>
      <x:c r="AA51" t="n">
        <x:v>4.126456735268748</x:v>
      </x:c>
      <x:c r="AB51" t="n">
        <x:v>0</x:v>
      </x:c>
      <x:c r="AC51" t="n">
        <x:v>0</x:v>
      </x:c>
    </x:row>
    <x:row r="52">
      <x:c r="A52" t="n">
        <x:v>2076</x:v>
      </x:c>
      <x:c r="B52" t="n">
        <x:v>360.24329695927855</x:v>
      </x:c>
      <x:c r="C52" t="n">
        <x:v>1.5</x:v>
      </x:c>
      <x:c r="D52" t="n">
        <x:v>15.2</x:v>
      </x:c>
      <x:c r="E52" t="n">
        <x:v>0.40210317742227353</x:v>
      </x:c>
      <x:c r="F52" t="n">
        <x:v>0.20870496237172426</x:v>
      </x:c>
      <x:c r="G52" t="n">
        <x:v>0.03246521636893488</x:v>
      </x:c>
      <x:c r="H52" t="n">
        <x:v>629.038188470887</x:v>
      </x:c>
      <x:c r="I52" s="30" t="b">
        <x:v>0</x:v>
      </x:c>
      <x:c r="J52" t="n">
        <x:v>1.4385520511789813</x:v>
      </x:c>
      <x:c r="K52" t="n">
        <x:v>0.7008304707144469</x:v>
      </x:c>
      <x:c r="L52" t="n">
        <x:v>1436.4211391812494</x:v>
      </x:c>
      <x:c r="M52" t="n">
        <x:v>335.45394547084794</x:v>
      </x:c>
      <x:c r="N52" t="n">
        <x:v>1.3871196699835397</x:v>
      </x:c>
      <x:c r="O52" t="n">
        <x:v>1.0184741631160308</x:v>
      </x:c>
      <x:c r="P52" t="n">
        <x:v>0.0011971063405692725</x:v>
      </x:c>
      <x:c r="Q52" t="n">
        <x:v>8.101202499082422</x:v>
      </x:c>
      <x:c r="R52" t="n">
        <x:v>2312.5429535421144</x:v>
      </x:c>
      <x:c r="S52" t="n">
        <x:v>357.3520082761006</x:v>
      </x:c>
      <x:c r="T52" t="n">
        <x:v>5.779699867162716</x:v>
      </x:c>
      <x:c r="U52" t="n">
        <x:v>3.381393148608507</x:v>
      </x:c>
      <x:c r="V52" t="n">
        <x:v>-191.23536524573817</x:v>
      </x:c>
      <x:c r="W52" t="n">
        <x:v>-142.95155456075835</x:v>
      </x:c>
      <x:c r="X52" t="n">
        <x:v>7.647332977108553</x:v>
      </x:c>
      <x:c r="Y52" t="n">
        <x:v>3.381393148608507</x:v>
      </x:c>
      <x:c r="Z52" t="n">
        <x:v>0</x:v>
      </x:c>
      <x:c r="AA52" t="n">
        <x:v>4.265939828500046</x:v>
      </x:c>
      <x:c r="AB52" t="n">
        <x:v>0</x:v>
      </x:c>
      <x:c r="AC52" t="n">
        <x:v>0</x:v>
      </x:c>
    </x:row>
    <x:row r="53">
      <x:c r="A53" t="n">
        <x:v>2077</x:v>
      </x:c>
      <x:c r="B53" t="n">
        <x:v>358.83054558720653</x:v>
      </x:c>
      <x:c r="C53" t="n">
        <x:v>1.5</x:v>
      </x:c>
      <x:c r="D53" t="n">
        <x:v>15.2</x:v>
      </x:c>
      <x:c r="E53" t="n">
        <x:v>0.4093473613273749</x:v>
      </x:c>
      <x:c r="F53" t="n">
        <x:v>0.2045723272293004</x:v>
      </x:c>
      <x:c r="G53" t="n">
        <x:v>0.03182236201344672</x:v>
      </x:c>
      <x:c r="H53" t="n">
        <x:v>643.8288411095596</x:v>
      </x:c>
      <x:c r="I53" s="30" t="b">
        <x:v>0</x:v>
      </x:c>
      <x:c r="J53" t="n">
        <x:v>1.4281860973321492</x:v>
      </x:c>
      <x:c r="K53" t="n">
        <x:v>0.7058602015544748</x:v>
      </x:c>
      <x:c r="L53" t="n">
        <x:v>1433.7575223061501</x:v>
      </x:c>
      <x:c r="M53" t="n">
        <x:v>335.383280960308</x:v>
      </x:c>
      <x:c r="N53" t="n">
        <x:v>1.3660881214825513</x:v>
      </x:c>
      <x:c r="O53" t="n">
        <x:v>1.0127217152781873</x:v>
      </x:c>
      <x:c r="P53" t="n">
        <x:v>0.001178594209297313</x:v>
      </x:c>
      <x:c r="Q53" t="n">
        <x:v>8.10232730530689</x:v>
      </x:c>
      <x:c r="R53" t="n">
        <x:v>2312.631273722385</x:v>
      </x:c>
      <x:c r="S53" t="n">
        <x:v>363.677587937406</x:v>
      </x:c>
      <x:c r="T53" t="n">
        <x:v>6.0781410643207145</x:v>
      </x:c>
      <x:c r="U53" t="n">
        <x:v>3.3760903233121207</x:v>
      </x:c>
      <x:c r="V53" t="n">
        <x:v>-188.53331450472956</x:v>
      </x:c>
      <x:c r="W53" t="n">
        <x:v>-141.96735143408532</x:v>
      </x:c>
      <x:c r="X53" t="n">
        <x:v>7.782700381860487</x:v>
      </x:c>
      <x:c r="Y53" t="n">
        <x:v>3.3760903233121207</x:v>
      </x:c>
      <x:c r="Z53" t="n">
        <x:v>0</x:v>
      </x:c>
      <x:c r="AA53" t="n">
        <x:v>4.406610058548367</x:v>
      </x:c>
      <x:c r="AB53" t="n">
        <x:v>0</x:v>
      </x:c>
      <x:c r="AC53" t="n">
        <x:v>0</x:v>
      </x:c>
    </x:row>
    <x:row r="54">
      <x:c r="A54" t="n">
        <x:v>2078</x:v>
      </x:c>
      <x:c r="B54" t="n">
        <x:v>357.43488998093466</x:v>
      </x:c>
      <x:c r="C54" t="n">
        <x:v>1.5</x:v>
      </x:c>
      <x:c r="D54" t="n">
        <x:v>15.2</x:v>
      </x:c>
      <x:c r="E54" t="n">
        <x:v>0.41649689642487137</x:v>
      </x:c>
      <x:c r="F54" t="n">
        <x:v>0.2005215237454357</x:v>
      </x:c>
      <x:c r="G54" t="n">
        <x:v>0.031192237027067762</x:v>
      </x:c>
      <x:c r="H54" t="n">
        <x:v>658.6123442131347</x:v>
      </x:c>
      <x:c r="I54" s="30" t="b">
        <x:v>0</x:v>
      </x:c>
      <x:c r="J54" t="n">
        <x:v>1.4178900280314481</x:v>
      </x:c>
      <x:c r="K54" t="n">
        <x:v>0.7107844794051609</x:v>
      </x:c>
      <x:c r="L54" t="n">
        <x:v>1431.1943458212907</x:v>
      </x:c>
      <x:c r="M54" t="n">
        <x:v>335.31436092989935</x:v>
      </x:c>
      <x:c r="N54" t="n">
        <x:v>1.345229612336363</x:v>
      </x:c>
      <x:c r="O54" t="n">
        <x:v>1.007021573106572</x:v>
      </x:c>
      <x:c r="P54" t="n">
        <x:v>0.001160026905686109</x:v>
      </x:c>
      <x:c r="Q54" t="n">
        <x:v>8.103441893242634</x:v>
      </x:c>
      <x:c r="R54" t="n">
        <x:v>2312.715286476635</x:v>
      </x:c>
      <x:c r="S54" t="n">
        <x:v>370.07804250365433</x:v>
      </x:c>
      <x:c r="T54" t="n">
        <x:v>6.3836092356189935</x:v>
      </x:c>
      <x:c r="U54" t="n">
        <x:v>3.3711887364703887</x:v>
      </x:c>
      <x:c r="V54" t="n">
        <x:v>-185.52089400558094</x:v>
      </x:c>
      <x:c r="W54" t="n">
        <x:v>-140.89161305641852</x:v>
      </x:c>
      <x:c r="X54" t="n">
        <x:v>7.9196701095782025</x:v>
      </x:c>
      <x:c r="Y54" t="n">
        <x:v>3.3711887364703887</x:v>
      </x:c>
      <x:c r="Z54" t="n">
        <x:v>0</x:v>
      </x:c>
      <x:c r="AA54" t="n">
        <x:v>4.548481373107814</x:v>
      </x:c>
      <x:c r="AB54" t="n">
        <x:v>0</x:v>
      </x:c>
      <x:c r="AC54" t="n">
        <x:v>0</x:v>
      </x:c>
    </x:row>
    <x:row r="55">
      <x:c r="A55" t="n">
        <x:v>2079</x:v>
      </x:c>
      <x:c r="B55" t="n">
        <x:v>356.0558943335361</x:v>
      </x:c>
      <x:c r="C55" t="n">
        <x:v>1.5</x:v>
      </x:c>
      <x:c r="D55" t="n">
        <x:v>15.2</x:v>
      </x:c>
      <x:c r="E55" t="n">
        <x:v>0.42355279502799026</x:v>
      </x:c>
      <x:c r="F55" t="n">
        <x:v>0.19655093154472508</x:v>
      </x:c>
      <x:c r="G55" t="n">
        <x:v>0.030574589351401667</x:v>
      </x:c>
      <x:c r="H55" t="n">
        <x:v>673.3887914181067</x:v>
      </x:c>
      <x:c r="I55" s="30" t="b">
        <x:v>0</x:v>
      </x:c>
      <x:c r="J55" t="n">
        <x:v>1.4076599395060454</x:v>
      </x:c>
      <x:c r="K55" t="n">
        <x:v>0.7156044949222439</x:v>
      </x:c>
      <x:c r="L55" t="n">
        <x:v>1428.723097829193</x:v>
      </x:c>
      <x:c r="M55" t="n">
        <x:v>335.2471693752171</x:v>
      </x:c>
      <x:c r="N55" t="n">
        <x:v>1.3245399447816628</x:v>
      </x:c>
      <x:c r="O55" t="n">
        <x:v>1.0013697577422151</x:v>
      </x:c>
      <x:c r="P55" t="n">
        <x:v>0.0011414397833493727</x:v>
      </x:c>
      <x:c r="Q55" t="n">
        <x:v>8.104546524705624</x:v>
      </x:c>
      <x:c r="R55" t="n">
        <x:v>2312.795201880511</x:v>
      </x:c>
      <x:c r="S55" t="n">
        <x:v>376.55389161265146</x:v>
      </x:c>
      <x:c r="T55" t="n">
        <x:v>6.696207090208303</x:v>
      </x:c>
      <x:c r="U55" t="n">
        <x:v>3.3666894500793605</x:v>
      </x:c>
      <x:c r="V55" t="n">
        <x:v>-182.191376365452</x:v>
      </x:c>
      <x:c r="W55" t="n">
        <x:v>-139.72595218942405</x:v>
      </x:c>
      <x:c r="X55" t="n">
        <x:v>8.05825328051074</x:v>
      </x:c>
      <x:c r="Y55" t="n">
        <x:v>3.3666894500793605</x:v>
      </x:c>
      <x:c r="Z55" t="n">
        <x:v>0</x:v>
      </x:c>
      <x:c r="AA55" t="n">
        <x:v>4.69156383043138</x:v>
      </x:c>
      <x:c r="AB55" t="n">
        <x:v>0</x:v>
      </x:c>
      <x:c r="AC55" t="n">
        <x:v>0</x:v>
      </x:c>
    </x:row>
    <x:row r="56">
      <x:c r="A56" t="n">
        <x:v>2080</x:v>
      </x:c>
      <x:c r="B56" t="n">
        <x:v>354.69313580458606</x:v>
      </x:c>
      <x:c r="C56" t="n">
        <x:v>1.5</x:v>
      </x:c>
      <x:c r="D56" t="n">
        <x:v>15.2</x:v>
      </x:c>
      <x:c r="E56" t="n">
        <x:v>0.43051603373280745</x:v>
      </x:c>
      <x:c r="F56" t="n">
        <x:v>0.1926589623373464</x:v>
      </x:c>
      <x:c r="G56" t="n">
        <x:v>0.029969171919142765</x:v>
      </x:c>
      <x:c r="H56" t="n">
        <x:v>688.158275384374</x:v>
      </x:c>
      <x:c r="I56" s="30" t="b">
        <x:v>0</x:v>
      </x:c>
      <x:c r="J56" t="n">
        <x:v>1.3974921498574397</x:v>
      </x:c>
      <x:c r="K56" t="n">
        <x:v>0.7203214045271646</x:v>
      </x:c>
      <x:c r="L56" t="n">
        <x:v>1426.335987779623</x:v>
      </x:c>
      <x:c r="M56" t="n">
        <x:v>335.1816904386857</x:v>
      </x:c>
      <x:c r="N56" t="n">
        <x:v>1.3040150183343244</x:v>
      </x:c>
      <x:c r="O56" t="n">
        <x:v>0.9957626166704329</x:v>
      </x:c>
      <x:c r="P56" t="n">
        <x:v>0.0011228647123129817</x:v>
      </x:c>
      <x:c r="Q56" t="n">
        <x:v>8.10564145451678</x:v>
      </x:c>
      <x:c r="R56" t="n">
        <x:v>2312.871219764149</x:v>
      </x:c>
      <x:c r="S56" t="n">
        <x:v>383.1056605379114</x:v>
      </x:c>
      <x:c r="T56" t="n">
        <x:v>7.0160373258364475</x:v>
      </x:c>
      <x:c r="U56" t="n">
        <x:v>3.36259784553137</x:v>
      </x:c>
      <x:c r="V56" t="n">
        <x:v>-178.5379368851469</x:v>
      </x:c>
      <x:c r="W56" t="n">
        <x:v>-138.47196632060363</x:v>
      </x:c>
      <x:c r="X56" t="n">
        <x:v>8.198461135511304</x:v>
      </x:c>
      <x:c r="Y56" t="n">
        <x:v>3.36259784553137</x:v>
      </x:c>
      <x:c r="Z56" t="n">
        <x:v>0</x:v>
      </x:c>
      <x:c r="AA56" t="n">
        <x:v>4.835863289979933</x:v>
      </x:c>
      <x:c r="AB56" t="n">
        <x:v>0</x:v>
      </x:c>
      <x:c r="AC56" t="n">
        <x:v>0</x:v>
      </x:c>
    </x:row>
    <x:row r="57">
      <x:c r="A57" t="n">
        <x:v>2081</x:v>
      </x:c>
      <x:c r="B57" t="n">
        <x:v>353.3462038873621</x:v>
      </x:c>
      <x:c r="C57" t="n">
        <x:v>1.5</x:v>
      </x:c>
      <x:c r="D57" t="n">
        <x:v>15.2</x:v>
      </x:c>
      <x:c r="E57" t="n">
        <x:v>0.4373875555866935</x:v>
      </x:c>
      <x:c r="F57" t="n">
        <x:v>0.18884405928372305</x:v>
      </x:c>
      <x:c r="G57" t="n">
        <x:v>0.0293757425552458</x:v>
      </x:c>
      <x:c r="H57" t="n">
        <x:v>702.9208878287873</x:v>
      </x:c>
      <x:c r="I57" s="30" t="b">
        <x:v>0</x:v>
      </x:c>
      <x:c r="J57" t="n">
        <x:v>1.3873831841383129</x:v>
      </x:c>
      <x:c r="K57" t="n">
        <x:v>0.7249363321155786</x:v>
      </x:c>
      <x:c r="L57" t="n">
        <x:v>1424.0258853384685</x:v>
      </x:c>
      <x:c r="M57" t="n">
        <x:v>335.1179084082121</x:v>
      </x:c>
      <x:c r="N57" t="n">
        <x:v>1.2836508244179676</x:v>
      </x:c>
      <x:c r="O57" t="n">
        <x:v>0.9901967970582096</x:v>
      </x:c>
      <x:c r="P57" t="n">
        <x:v>0.001104330374152949</x:v>
      </x:c>
      <x:c r="Q57" t="n">
        <x:v>8.106726930872421</x:v>
      </x:c>
      <x:c r="R57" t="n">
        <x:v>2312.9435302118536</x:v>
      </x:c>
      <x:c r="S57" t="n">
        <x:v>389.7338803113584</x:v>
      </x:c>
      <x:c r="T57" t="n">
        <x:v>7.343202658373916</x:v>
      </x:c>
      <x:c r="U57" t="n">
        <x:v>3.3589240926504234</x:v>
      </x:c>
      <x:c r="V57" t="n">
        <x:v>-174.55365831942342</x:v>
      </x:c>
      <x:c r="W57" t="n">
        <x:v>-137.13123965183377</x:v>
      </x:c>
      <x:c r="X57" t="n">
        <x:v>8.34030503866307</x:v>
      </x:c>
      <x:c r="Y57" t="n">
        <x:v>3.3589240926504234</x:v>
      </x:c>
      <x:c r="Z57" t="n">
        <x:v>0</x:v>
      </x:c>
      <x:c r="AA57" t="n">
        <x:v>4.981380946012647</x:v>
      </x:c>
      <x:c r="AB57" t="n">
        <x:v>0</x:v>
      </x:c>
      <x:c r="AC57" t="n">
        <x:v>0</x:v>
      </x:c>
    </x:row>
    <x:row r="58">
      <x:c r="A58" t="n">
        <x:v>2082</x:v>
      </x:c>
      <x:c r="B58" t="n">
        <x:v>352.0146998517247</x:v>
      </x:c>
      <x:c r="C58" t="n">
        <x:v>1.5</x:v>
      </x:c>
      <x:c r="D58" t="n">
        <x:v>15.2</x:v>
      </x:c>
      <x:c r="E58" t="n">
        <x:v>0.4441682719845531</x:v>
      </x:c>
      <x:c r="F58" t="n">
        <x:v>0.18510469637176757</x:v>
      </x:c>
      <x:c r="G58" t="n">
        <x:v>0.02879406388005273</x:v>
      </x:c>
      <x:c r="H58" t="n">
        <x:v>717.6767195568027</x:v>
      </x:c>
      <x:c r="I58" s="30" t="b">
        <x:v>0</x:v>
      </x:c>
      <x:c r="J58" t="n">
        <x:v>1.3773297600531018</x:v>
      </x:c>
      <x:c r="K58" t="n">
        <x:v>0.7294503706537777</x:v>
      </x:c>
      <x:c r="L58" t="n">
        <x:v>1421.7862644372192</x:v>
      </x:c>
      <x:c r="M58" t="n">
        <x:v>335.0558077158508</x:v>
      </x:c>
      <x:c r="N58" t="n">
        <x:v>1.2634434418827678</x:v>
      </x:c>
      <x:c r="O58" t="n">
        <x:v>0.9846692212102406</x:v>
      </x:c>
      <x:c r="P58" t="n">
        <x:v>0.0010858625329229672</x:v>
      </x:c>
      <x:c r="Q58" t="n">
        <x:v>8.107803195663132</x:v>
      </x:c>
      <x:c r="R58" t="n">
        <x:v>2313.012314037409</x:v>
      </x:c>
      <x:c r="S58" t="n">
        <x:v>396.4390878453896</x:v>
      </x:c>
      <x:c r="T58" t="n">
        <x:v>7.67780585423872</x:v>
      </x:c>
      <x:c r="U58" t="n">
        <x:v>3.355683813342009</x:v>
      </x:c>
      <x:c r="V58" t="n">
        <x:v>-170.2315362785267</x:v>
      </x:c>
      <x:c r="W58" t="n">
        <x:v>-135.70534510884406</x:v>
      </x:c>
      <x:c r="X58" t="n">
        <x:v>8.483796479891337</x:v>
      </x:c>
      <x:c r="Y58" t="n">
        <x:v>3.355683813342009</x:v>
      </x:c>
      <x:c r="Z58" t="n">
        <x:v>0</x:v>
      </x:c>
      <x:c r="AA58" t="n">
        <x:v>5.128112666549328</x:v>
      </x:c>
      <x:c r="AB58" t="n">
        <x:v>0</x:v>
      </x:c>
      <x:c r="AC58" t="n">
        <x:v>0</x:v>
      </x:c>
    </x:row>
    <x:row r="59">
      <x:c r="A59" t="n">
        <x:v>2083</x:v>
      </x:c>
      <x:c r="B59" t="n">
        <x:v>350.69823624848704</x:v>
      </x:c>
      <x:c r="C59" t="n">
        <x:v>1.5</x:v>
      </x:c>
      <x:c r="D59" t="n">
        <x:v>15.2</x:v>
      </x:c>
      <x:c r="E59" t="n">
        <x:v>0.4508590643412277</x:v>
      </x:c>
      <x:c r="F59" t="n">
        <x:v>0.18143937780645633</x:v>
      </x:c>
      <x:c r="G59" t="n">
        <x:v>0.028223903214337646</x:v>
      </x:c>
      <x:c r="H59" t="n">
        <x:v>732.4258604924614</x:v>
      </x:c>
      <x:c r="I59" s="30" t="b">
        <x:v>0</x:v>
      </x:c>
      <x:c r="J59" t="n">
        <x:v>1.3673287744232303</x:v>
      </x:c>
      <x:c r="K59" t="n">
        <x:v>0.7338645836685332</x:v>
      </x:c>
      <x:c r="L59" t="n">
        <x:v>1419.611152064019</x:v>
      </x:c>
      <x:c r="M59" t="n">
        <x:v>334.9953729364815</x:v>
      </x:c>
      <x:c r="N59" t="n">
        <x:v>1.2433890332318742</x:v>
      </x:c>
      <x:c r="O59" t="n">
        <x:v>0.9791770639852329</x:v>
      </x:c>
      <x:c r="P59" t="n">
        <x:v>0.001067484283823756</x:v>
      </x:c>
      <x:c r="Q59" t="n">
        <x:v>8.108870484751044</x:v>
      </x:c>
      <x:c r="R59" t="n">
        <x:v>2313.077743236207</x:v>
      </x:c>
      <x:c r="S59" t="n">
        <x:v>403.2218260543024</x:v>
      </x:c>
      <x:c r="T59" t="n">
        <x:v>8.019949763928924</x:v>
      </x:c>
      <x:c r="U59" t="n">
        <x:v>3.3528989942082723</x:v>
      </x:c>
      <x:c r="V59" t="n">
        <x:v>-165.56448550880606</x:v>
      </x:c>
      <x:c r="W59" t="n">
        <x:v>-134.19584643824453</x:v>
      </x:c>
      <x:c r="X59" t="n">
        <x:v>8.62894707756207</x:v>
      </x:c>
      <x:c r="Y59" t="n">
        <x:v>3.3528989942082723</x:v>
      </x:c>
      <x:c r="Z59" t="n">
        <x:v>0</x:v>
      </x:c>
      <x:c r="AA59" t="n">
        <x:v>5.276048083353798</x:v>
      </x:c>
      <x:c r="AB59" t="n">
        <x:v>0</x:v>
      </x:c>
      <x:c r="AC59" t="n">
        <x:v>0</x:v>
      </x:c>
    </x:row>
    <x:row r="60">
      <x:c r="A60" t="n">
        <x:v>2084</x:v>
      </x:c>
      <x:c r="B60" t="n">
        <x:v>349.396436463985</x:v>
      </x:c>
      <x:c r="C60" t="n">
        <x:v>1.5</x:v>
      </x:c>
      <x:c r="D60" t="n">
        <x:v>15.2</x:v>
      </x:c>
      <x:c r="E60" t="n">
        <x:v>0.4574607855783828</x:v>
      </x:c>
      <x:c r="F60" t="n">
        <x:v>0.17784663741149165</x:v>
      </x:c>
      <x:c r="G60" t="n">
        <x:v>0.027665032486232026</x:v>
      </x:c>
      <x:c r="H60" t="n">
        <x:v>747.1683997068831</x:v>
      </x:c>
      <x:c r="I60" s="30" t="b">
        <x:v>0</x:v>
      </x:c>
      <x:c r="J60" t="n">
        <x:v>1.3573772904884618</x:v>
      </x:c>
      <x:c r="K60" t="n">
        <x:v>0.7381800066365772</x:v>
      </x:c>
      <x:c r="L60" t="n">
        <x:v>1417.495081394457</x:v>
      </x:c>
      <x:c r="M60" t="n">
        <x:v>334.93658878649876</x:v>
      </x:c>
      <x:c r="N60" t="n">
        <x:v>1.2234838414101816</x:v>
      </x:c>
      <x:c r="O60" t="n">
        <x:v>0.9737177320242687</x:v>
      </x:c>
      <x:c r="P60" t="n">
        <x:v>0.0010492162814380462</x:v>
      </x:c>
      <x:c r="Q60" t="n">
        <x:v>8.109929028213456</x:v>
      </x:c>
      <x:c r="R60" t="n">
        <x:v>2313.139981415325</x:v>
      </x:c>
      <x:c r="S60" t="n">
        <x:v>410.0826439750939</x:v>
      </x:c>
      <x:c r="T60" t="n">
        <x:v>8.369737355459211</x:v>
      </x:c>
      <x:c r="U60" t="n">
        <x:v>3.350599226336798</x:v>
      </x:c>
      <x:c r="V60" t="n">
        <x:v>-160.54534737968365</x:v>
      </x:c>
      <x:c r="W60" t="n">
        <x:v>-132.604300474075</x:v>
      </x:c>
      <x:c r="X60" t="n">
        <x:v>8.775768581067009</x:v>
      </x:c>
      <x:c r="Y60" t="n">
        <x:v>3.350599226336798</x:v>
      </x:c>
      <x:c r="Z60" t="n">
        <x:v>0</x:v>
      </x:c>
      <x:c r="AA60" t="n">
        <x:v>5.425169354730211</x:v>
      </x:c>
      <x:c r="AB60" t="n">
        <x:v>0</x:v>
      </x:c>
      <x:c r="AC60" t="n">
        <x:v>0</x:v>
      </x:c>
    </x:row>
    <x:row r="61">
      <x:c r="A61" t="n">
        <x:v>2085</x:v>
      </x:c>
      <x:c r="B61" t="n">
        <x:v>348.1089343158602</x:v>
      </x:c>
      <x:c r="C61" t="n">
        <x:v>1.5</x:v>
      </x:c>
      <x:c r="D61" t="n">
        <x:v>15.2</x:v>
      </x:c>
      <x:c r="E61" t="n">
        <x:v>0.46397426145638365</x:v>
      </x:c>
      <x:c r="F61" t="n">
        <x:v>0.1743250380428117</x:v>
      </x:c>
      <x:c r="G61" t="n">
        <x:v>0.027117228139992913</x:v>
      </x:c>
      <x:c r="H61" t="n">
        <x:v>761.9044254454267</x:v>
      </x:c>
      <x:c r="I61" s="30" t="b">
        <x:v>0</x:v>
      </x:c>
      <x:c r="J61" t="n">
        <x:v>1.3474725260677929</x:v>
      </x:c>
      <x:c r="K61" t="n">
        <x:v>0.7423976482802301</x:v>
      </x:c>
      <x:c r="L61" t="n">
        <x:v>1415.4330488943265</x:v>
      </x:c>
      <x:c r="M61" t="n">
        <x:v>334.8794401225137</x:v>
      </x:c>
      <x:c r="N61" t="n">
        <x:v>1.2037241870400115</x:v>
      </x:c>
      <x:c r="O61" t="n">
        <x:v>0.9682888446528874</x:v>
      </x:c>
      <x:c r="P61" t="n">
        <x:v>0.0010310769492028807</x:v>
      </x:c>
      <x:c r="Q61" t="n">
        <x:v>8.110979050559212</x:v>
      </x:c>
      <x:c r="R61" t="n">
        <x:v>2313.1991842026296</x:v>
      </x:c>
      <x:c r="S61" t="n">
        <x:v>417.0220968876395</x:v>
      </x:c>
      <x:c r="T61" t="n">
        <x:v>8.727271746915848</x:v>
      </x:c>
      <x:c r="U61" t="n">
        <x:v>3.348823385266953</x:v>
      </x:c>
      <x:c r="V61" t="n">
        <x:v>-155.16689901803474</x:v>
      </x:c>
      <x:c r="W61" t="n">
        <x:v>-130.93225967874463</x:v>
      </x:c>
      <x:c r="X61" t="n">
        <x:v>8.924272873395486</x:v>
      </x:c>
      <x:c r="Y61" t="n">
        <x:v>3.348823385266953</x:v>
      </x:c>
      <x:c r="Z61" t="n">
        <x:v>0</x:v>
      </x:c>
      <x:c r="AA61" t="n">
        <x:v>5.575449488128533</x:v>
      </x:c>
      <x:c r="AB61" t="n">
        <x:v>0</x:v>
      </x:c>
      <x:c r="AC61" t="n">
        <x:v>0</x:v>
      </x:c>
    </x:row>
    <x:row r="62">
      <x:c r="A62" t="n">
        <x:v>2086</x:v>
      </x:c>
      <x:c r="B62" t="n">
        <x:v>346.8353736702778</x:v>
      </x:c>
      <x:c r="C62" t="n">
        <x:v>1.5</x:v>
      </x:c>
      <x:c r="D62" t="n">
        <x:v>15.2</x:v>
      </x:c>
      <x:c r="E62" t="n">
        <x:v>0.4704001901468378</x:v>
      </x:c>
      <x:c r="F62" t="n">
        <x:v>0.17087317101371366</x:v>
      </x:c>
      <x:c r="G62" t="n">
        <x:v>0.026580271046577664</x:v>
      </x:c>
      <x:c r="H62" t="n">
        <x:v>776.6340252552799</x:v>
      </x:c>
      <x:c r="I62" s="30" t="b">
        <x:v>0</x:v>
      </x:c>
      <x:c r="J62" t="n">
        <x:v>1.3376113100557692</x:v>
      </x:c>
      <x:c r="K62" t="n">
        <x:v>0.7465184900071579</x:v>
      </x:c>
      <x:c r="L62" t="n">
        <x:v>1413.4204750577435</x:v>
      </x:c>
      <x:c r="M62" t="n">
        <x:v>334.82255622435247</x:v>
      </x:c>
      <x:c r="N62" t="n">
        <x:v>1.1841064658173046</x:v>
      </x:c>
      <x:c r="O62" t="n">
        <x:v>0.9628837709152409</x:v>
      </x:c>
      <x:c r="P62" t="n">
        <x:v>0.0010130826716292789</x:v>
      </x:c>
      <x:c r="Q62" t="n">
        <x:v>8.112020770933118</x:v>
      </x:c>
      <x:c r="R62" t="n">
        <x:v>2313.2554996359263</x:v>
      </x:c>
      <x:c r="S62" t="n">
        <x:v>424.0407464342596</x:v>
      </x:c>
      <x:c r="T62" t="n">
        <x:v>9.092653544957086</x:v>
      </x:c>
      <x:c r="U62" t="n">
        <x:v>3.346425418385815</x:v>
      </x:c>
      <x:c r="V62" t="n">
        <x:v>-149.42067089146346</x:v>
      </x:c>
      <x:c r="W62" t="n">
        <x:v>-129.1809112467374</x:v>
      </x:c>
      <x:c r="X62" t="n">
        <x:v>9.074471973693154</x:v>
      </x:c>
      <x:c r="Y62" t="n">
        <x:v>3.346425418385815</x:v>
      </x:c>
      <x:c r="Z62" t="n">
        <x:v>0</x:v>
      </x:c>
      <x:c r="AA62" t="n">
        <x:v>5.728046555307339</x:v>
      </x:c>
      <x:c r="AB62" t="n">
        <x:v>0</x:v>
      </x:c>
      <x:c r="AC62" t="n">
        <x:v>0</x:v>
      </x:c>
    </x:row>
    <x:row r="63">
      <x:c r="A63" t="n">
        <x:v>2087</x:v>
      </x:c>
      <x:c r="B63" t="n">
        <x:v>345.5754081034946</x:v>
      </x:c>
      <x:c r="C63" t="n">
        <x:v>1.5</x:v>
      </x:c>
      <x:c r="D63" t="n">
        <x:v>15.2</x:v>
      </x:c>
      <x:c r="E63" t="n">
        <x:v>0.4767392661074633</x:v>
      </x:c>
      <x:c r="F63" t="n">
        <x:v>0.16748965553136042</x:v>
      </x:c>
      <x:c r="G63" t="n">
        <x:v>0.02605394641598939</x:v>
      </x:c>
      <x:c r="H63" t="n">
        <x:v>791.3572859891724</x:v>
      </x:c>
      <x:c r="I63" s="30" t="b">
        <x:v>0</x:v>
      </x:c>
      <x:c r="J63" t="n">
        <x:v>1.3277907475992108</x:v>
      </x:c>
      <x:c r="K63" t="n">
        <x:v>0.7505434856371802</x:v>
      </x:c>
      <x:c r="L63" t="n">
        <x:v>1411.4531684725428</x:v>
      </x:c>
      <x:c r="M63" t="n">
        <x:v>334.7659346629708</x:v>
      </x:c>
      <x:c r="N63" t="n">
        <x:v>1.1646271464339482</x:v>
      </x:c>
      <x:c r="O63" t="n">
        <x:v>0.9575005439572684</x:v>
      </x:c>
      <x:c r="P63" t="n">
        <x:v>0.0009952479706973043</x:v>
      </x:c>
      <x:c r="Q63" t="n">
        <x:v>8.113054403289347</x:v>
      </x:c>
      <x:c r="R63" t="n">
        <x:v>2313.3090685331313</x:v>
      </x:c>
      <x:c r="S63" t="n">
        <x:v>431.13916073868415</x:v>
      </x:c>
      <x:c r="T63" t="n">
        <x:v>9.465983878877816</x:v>
      </x:c>
      <x:c r="U63" t="n">
        <x:v>3.3440784009160947</x:v>
      </x:c>
      <x:c r="V63" t="n">
        <x:v>-143.29876541350174</x:v>
      </x:c>
      <x:c r="W63" t="n">
        <x:v>-127.35164827946154</x:v>
      </x:c>
      <x:c r="X63" t="n">
        <x:v>9.226378039807841</x:v>
      </x:c>
      <x:c r="Y63" t="n">
        <x:v>3.3440784009160947</x:v>
      </x:c>
      <x:c r="Z63" t="n">
        <x:v>0</x:v>
      </x:c>
      <x:c r="AA63" t="n">
        <x:v>5.882299638891746</x:v>
      </x:c>
      <x:c r="AB63" t="n">
        <x:v>0</x:v>
      </x:c>
      <x:c r="AC63" t="n">
        <x:v>0</x:v>
      </x:c>
    </x:row>
    <x:row r="64">
      <x:c r="A64" t="n">
        <x:v>2088</x:v>
      </x:c>
      <x:c r="B64" t="n">
        <x:v>344.3287005862622</x:v>
      </x:c>
      <x:c r="C64" t="n">
        <x:v>1.5</x:v>
      </x:c>
      <x:c r="D64" t="n">
        <x:v>15.2</x:v>
      </x:c>
      <x:c r="E64" t="n">
        <x:v>0.48299217598602695</x:v>
      </x:c>
      <x:c r="F64" t="n">
        <x:v>0.1641731381444449</x:v>
      </x:c>
      <x:c r="G64" t="n">
        <x:v>0.02553804371135809</x:v>
      </x:c>
      <x:c r="H64" t="n">
        <x:v>806.0742938131864</x:v>
      </x:c>
      <x:c r="I64" s="30" t="b">
        <x:v>0</x:v>
      </x:c>
      <x:c r="J64" t="n">
        <x:v>1.3180081732138065</x:v>
      </x:c>
      <x:c r="K64" t="n">
        <x:v>0.7544735633323033</x:v>
      </x:c>
      <x:c r="L64" t="n">
        <x:v>1409.5272929309804</x:v>
      </x:c>
      <x:c r="M64" t="n">
        <x:v>334.70957303160924</x:v>
      </x:c>
      <x:c r="N64" t="n">
        <x:v>1.1452827687113485</x:v>
      </x:c>
      <x:c r="O64" t="n">
        <x:v>0.9521373607882996</x:v>
      </x:c>
      <x:c r="P64" t="n">
        <x:v>0.000977585667697702</x:v>
      </x:c>
      <x:c r="Q64" t="n">
        <x:v>8.11408015655066</x:v>
      </x:c>
      <x:c r="R64" t="n">
        <x:v>2313.360024844391</x:v>
      </x:c>
      <x:c r="S64" t="n">
        <x:v>438.3179145244266</x:v>
      </x:c>
      <x:c r="T64" t="n">
        <x:v>9.847364349696537</x:v>
      </x:c>
      <x:c r="U64" t="n">
        <x:v>3.3417803014080016</x:v>
      </x:c>
      <x:c r="V64" t="n">
        <x:v>-136.7931813652132</x:v>
      </x:c>
      <x:c r="W64" t="n">
        <x:v>-125.44585565078282</x:v>
      </x:c>
      <x:c r="X64" t="n">
        <x:v>9.38000337082273</x:v>
      </x:c>
      <x:c r="Y64" t="n">
        <x:v>3.3417803014080016</x:v>
      </x:c>
      <x:c r="Z64" t="n">
        <x:v>0</x:v>
      </x:c>
      <x:c r="AA64" t="n">
        <x:v>6.038223069414728</x:v>
      </x:c>
      <x:c r="AB64" t="n">
        <x:v>0</x:v>
      </x:c>
      <x:c r="AC64" t="n">
        <x:v>0</x:v>
      </x:c>
    </x:row>
    <x:row r="65">
      <x:c r="A65" t="n">
        <x:v>2089</x:v>
      </x:c>
      <x:c r="B65" t="n">
        <x:v>343.0949231876625</x:v>
      </x:c>
      <x:c r="C65" t="n">
        <x:v>1.5</x:v>
      </x:c>
      <x:c r="D65" t="n">
        <x:v>15.2</x:v>
      </x:c>
      <x:c r="E65" t="n">
        <x:v>0.4891595956761239</x:v>
      </x:c>
      <x:c r="F65" t="n">
        <x:v>0.16092229220179155</x:v>
      </x:c>
      <x:c r="G65" t="n">
        <x:v>0.025032356564723125</x:v>
      </x:c>
      <x:c r="H65" t="n">
        <x:v>820.7851342175103</x:v>
      </x:c>
      <x:c r="I65" s="30" t="b">
        <x:v>0</x:v>
      </x:c>
      <x:c r="J65" t="n">
        <x:v>1.3082611144780287</x:v>
      </x:c>
      <x:c r="K65" t="n">
        <x:v>0.7583096272268004</x:v>
      </x:c>
      <x:c r="L65" t="n">
        <x:v>1407.639337327663</x:v>
      </x:c>
      <x:c r="M65" t="n">
        <x:v>334.6534689455887</x:v>
      </x:c>
      <x:c r="N65" t="n">
        <x:v>1.126069941902968</x:v>
      </x:c>
      <x:c r="O65" t="n">
        <x:v>0.9467925686782206</x:v>
      </x:c>
      <x:c r="P65" t="n">
        <x:v>0.0009601070317223597</x:v>
      </x:c>
      <x:c r="Q65" t="n">
        <x:v>8.115098234755804</x:v>
      </x:c>
      <x:c r="R65" t="n">
        <x:v>2313.408495987025</x:v>
      </x:c>
      <x:c r="S65" t="n">
        <x:v>445.57758923257916</x:v>
      </x:c>
      <x:c r="T65" t="n">
        <x:v>10.236896994183816</x:v>
      </x:c>
      <x:c r="U65" t="n">
        <x:v>3.339529205829383</x:v>
      </x:c>
      <x:c r="V65" t="n">
        <x:v>-129.89581357685876</x:v>
      </x:c>
      <x:c r="W65" t="n">
        <x:v>-123.46490998590237</x:v>
      </x:c>
      <x:c r="X65" t="n">
        <x:v>9.535360409577194</x:v>
      </x:c>
      <x:c r="Y65" t="n">
        <x:v>3.339529205829383</x:v>
      </x:c>
      <x:c r="Z65" t="n">
        <x:v>0</x:v>
      </x:c>
      <x:c r="AA65" t="n">
        <x:v>6.195831203747812</x:v>
      </x:c>
      <x:c r="AB65" t="n">
        <x:v>0</x:v>
      </x:c>
      <x:c r="AC65" t="n">
        <x:v>0</x:v>
      </x:c>
    </x:row>
    <x:row r="66">
      <x:c r="A66" t="n">
        <x:v>2090</x:v>
      </x:c>
      <x:c r="B66" t="n">
        <x:v>341.8737567956272</x:v>
      </x:c>
      <x:c r="C66" t="n">
        <x:v>1.5</x:v>
      </x:c>
      <x:c r="D66" t="n">
        <x:v>15.2</x:v>
      </x:c>
      <x:c r="E66" t="n">
        <x:v>0.4952421882384368</x:v>
      </x:c>
      <x:c r="F66" t="n">
        <x:v>0.15773581732167807</x:v>
      </x:c>
      <x:c r="G66" t="n">
        <x:v>0.02453668269448325</x:v>
      </x:c>
      <x:c r="H66" t="n">
        <x:v>835.4898920292719</x:v>
      </x:c>
      <x:c r="I66" s="30" t="b">
        <x:v>0</x:v>
      </x:c>
      <x:c r="J66" t="n">
        <x:v>1.2985472636718594</x:v>
      </x:c>
      <x:c r="K66" t="n">
        <x:v>0.7620525588232564</x:v>
      </x:c>
      <x:c r="L66" t="n">
        <x:v>1405.786088108502</x:v>
      </x:c>
      <x:c r="M66" t="n">
        <x:v>334.5976200421079</x:v>
      </x:c>
      <x:c r="N66" t="n">
        <x:v>1.1069853431321388</x:v>
      </x:c>
      <x:c r="O66" t="n">
        <x:v>0.9414646526687052</x:v>
      </x:c>
      <x:c r="P66" t="n">
        <x:v>0.0009428219158822614</x:v>
      </x:c>
      <x:c r="Q66" t="n">
        <x:v>8.116108837197054</x:v>
      </x:c>
      <x:c r="R66" t="n">
        <x:v>2313.454603164138</x:v>
      </x:c>
      <x:c r="S66" t="n">
        <x:v>452.9187731390429</x:v>
      </x:c>
      <x:c r="T66" t="n">
        <x:v>10.634684260330662</x:v>
      </x:c>
      <x:c r="U66" t="n">
        <x:v>3.3373233087510465</x:v>
      </x:c>
      <x:c r="V66" t="n">
        <x:v>-122.59845262527915</x:v>
      </x:c>
      <x:c r="W66" t="n">
        <x:v>-121.41017963680376</x:v>
      </x:c>
      <x:c r="X66" t="n">
        <x:v>9.692461745175518</x:v>
      </x:c>
      <x:c r="Y66" t="n">
        <x:v>3.3373233087510465</x:v>
      </x:c>
      <x:c r="Z66" t="n">
        <x:v>0</x:v>
      </x:c>
      <x:c r="AA66" t="n">
        <x:v>6.355138436424471</x:v>
      </x:c>
      <x:c r="AB66" t="n">
        <x:v>0</x:v>
      </x:c>
      <x:c r="AC66" t="n">
        <x:v>0</x:v>
      </x:c>
    </x:row>
    <x:row r="67">
      <x:c r="A67" t="n">
        <x:v>2091</x:v>
      </x:c>
      <x:c r="B67" t="n">
        <x:v>340.66489085192023</x:v>
      </x:c>
      <x:c r="C67" t="n">
        <x:v>1.5</x:v>
      </x:c>
      <x:c r="D67" t="n">
        <x:v>15.2</x:v>
      </x:c>
      <x:c r="E67" t="n">
        <x:v>0.501240602470192</x:v>
      </x:c>
      <x:c r="F67" t="n">
        <x:v>0.15461243887166556</x:v>
      </x:c>
      <x:c r="G67" t="n">
        <x:v>0.024050823824481298</x:v>
      </x:c>
      <x:c r="H67" t="n">
        <x:v>850.1886514268017</x:v>
      </x:c>
      <x:c r="I67" s="30" t="b">
        <x:v>0</x:v>
      </x:c>
      <x:c r="J67" t="n">
        <x:v>1.2888644554051827</x:v>
      </x:c>
      <x:c r="K67" t="n">
        <x:v>0.7657032182042375</x:v>
      </x:c>
      <x:c r="L67" t="n">
        <x:v>1403.9646040545015</x:v>
      </x:c>
      <x:c r="M67" t="n">
        <x:v>334.54202398004264</x:v>
      </x:c>
      <x:c r="N67" t="n">
        <x:v>1.0880257159383862</x:v>
      </x:c>
      <x:c r="O67" t="n">
        <x:v>0.9361522241097633</x:v>
      </x:c>
      <x:c r="P67" t="n">
        <x:v>0.0009257388822579417</x:v>
      </x:c>
      <x:c r="Q67" t="n">
        <x:v>8.117112158549448</x:v>
      </x:c>
      <x:c r="R67" t="n">
        <x:v>2313.4984616676884</x:v>
      </x:c>
      <x:c r="S67" t="n">
        <x:v>460.3420614712072</x:v>
      </x:c>
      <x:c r="T67" t="n">
        <x:v>11.040828991502638</x:v>
      </x:c>
      <x:c r="U67" t="n">
        <x:v>3.335160905340597</x:v>
      </x:c>
      <x:c r="V67" t="n">
        <x:v>-114.89278453911712</x:v>
      </x:c>
      <x:c r="W67" t="n">
        <x:v>-119.28302465224566</x:v>
      </x:c>
      <x:c r="X67" t="n">
        <x:v>9.851320115483833</x:v>
      </x:c>
      <x:c r="Y67" t="n">
        <x:v>3.335160905340597</x:v>
      </x:c>
      <x:c r="Z67" t="n">
        <x:v>0</x:v>
      </x:c>
      <x:c r="AA67" t="n">
        <x:v>6.516159210143236</x:v>
      </x:c>
      <x:c r="AB67" t="n">
        <x:v>0</x:v>
      </x:c>
      <x:c r="AC67" t="n">
        <x:v>0</x:v>
      </x:c>
    </x:row>
    <x:row r="68">
      <x:c r="A68" t="n">
        <x:v>2092</x:v>
      </x:c>
      <x:c r="B68" t="n">
        <x:v>339.4680230997827</x:v>
      </x:c>
      <x:c r="C68" t="n">
        <x:v>1.5</x:v>
      </x:c>
      <x:c r="D68" t="n">
        <x:v>15.2</x:v>
      </x:c>
      <x:c r="E68" t="n">
        <x:v>0.5071554719582577</x:v>
      </x:c>
      <x:c r="F68" t="n">
        <x:v>0.15155090745872837</x:v>
      </x:c>
      <x:c r="G68" t="n">
        <x:v>0.023574585604691074</x:v>
      </x:c>
      <x:c r="H68" t="n">
        <x:v>864.8814959548434</x:v>
      </x:c>
      <x:c r="I68" s="30" t="b">
        <x:v>0</x:v>
      </x:c>
      <x:c r="J68" t="n">
        <x:v>1.2792106487817914</x:v>
      </x:c>
      <x:c r="K68" t="n">
        <x:v>0.7692624450971319</x:v>
      </x:c>
      <x:c r="L68" t="n">
        <x:v>1402.1721932025118</x:v>
      </x:c>
      <x:c r="M68" t="n">
        <x:v>334.48667843974687</x:v>
      </x:c>
      <x:c r="N68" t="n">
        <x:v>1.0691878689109904</x:v>
      </x:c>
      <x:c r="O68" t="n">
        <x:v>0.9308540101395294</x:v>
      </x:c>
      <x:c r="P68" t="n">
        <x:v>0.0009088653165007075</x:v>
      </x:c>
      <x:c r="Q68" t="n">
        <x:v>8.118108388992955</x:v>
      </x:c>
      <x:c r="R68" t="n">
        <x:v>2313.54018116678</x:v>
      </x:c>
      <x:c r="S68" t="n">
        <x:v>467.8480565240934</x:v>
      </x:c>
      <x:c r="T68" t="n">
        <x:v>11.45543441712374</x:v>
      </x:c>
      <x:c r="U68" t="n">
        <x:v>3.333040384077603</x:v>
      </x:c>
      <x:c r="V68" t="n">
        <x:v>-106.77039050607098</x:v>
      </x:c>
      <x:c r="W68" t="n">
        <x:v>-117.08479674113909</x:v>
      </x:c>
      <x:c r="X68" t="n">
        <x:v>10.011948409615599</x:v>
      </x:c>
      <x:c r="Y68" t="n">
        <x:v>3.333040384077603</x:v>
      </x:c>
      <x:c r="Z68" t="n">
        <x:v>0</x:v>
      </x:c>
      <x:c r="AA68" t="n">
        <x:v>6.678908025537996</x:v>
      </x:c>
      <x:c r="AB68" t="n">
        <x:v>0</x:v>
      </x:c>
      <x:c r="AC68" t="n">
        <x:v>0</x:v>
      </x:c>
    </x:row>
    <x:row r="69">
      <x:c r="A69" t="n">
        <x:v>2093</x:v>
      </x:c>
      <x:c r="B69" t="n">
        <x:v>338.2828593427737</x:v>
      </x:c>
      <x:c r="C69" t="n">
        <x:v>1.5</x:v>
      </x:c>
      <x:c r="D69" t="n">
        <x:v>15.2</x:v>
      </x:c>
      <x:c r="E69" t="n">
        <x:v>0.5129874144914887</x:v>
      </x:c>
      <x:c r="F69" t="n">
        <x:v>0.14854999842948038</x:v>
      </x:c>
      <x:c r="G69" t="n">
        <x:v>0.023107777533474722</x:v>
      </x:c>
      <x:c r="H69" t="n">
        <x:v>879.568508540352</x:v>
      </x:c>
      <x:c r="I69" s="30" t="b">
        <x:v>0</x:v>
      </x:c>
      <x:c r="J69" t="n">
        <x:v>1.2695839130157813</x:v>
      </x:c>
      <x:c r="K69" t="n">
        <x:v>0.7727310598207106</x:v>
      </x:c>
      <x:c r="L69" t="n">
        <x:v>1400.4063917218543</x:v>
      </x:c>
      <x:c r="M69" t="n">
        <x:v>334.43158112285573</x:v>
      </x:c>
      <x:c r="N69" t="n">
        <x:v>1.0504686743929506</x:v>
      </x:c>
      <x:c r="O69" t="n">
        <x:v>0.9255688440314398</x:v>
      </x:c>
      <x:c r="P69" t="n">
        <x:v>0.0008922075329375575</x:v>
      </x:c>
      <x:c r="Q69" t="n">
        <x:v>8.119097714328616</x:v>
      </x:c>
      <x:c r="R69" t="n">
        <x:v>2313.5798659818915</x:v>
      </x:c>
      <x:c r="S69" t="n">
        <x:v>475.4373677759788</x:v>
      </x:c>
      <x:c r="T69" t="n">
        <x:v>11.878604148210842</x:v>
      </x:c>
      <x:c r="U69" t="n">
        <x:v>3.330960220113732</x:v>
      </x:c>
      <x:c r="V69" t="n">
        <x:v>-98.22274657797388</x:v>
      </x:c>
      <x:c r="W69" t="n">
        <x:v>-114.81683922877465</x:v>
      </x:c>
      <x:c r="X69" t="n">
        <x:v>10.174359670405947</x:v>
      </x:c>
      <x:c r="Y69" t="n">
        <x:v>3.330960220113732</x:v>
      </x:c>
      <x:c r="Z69" t="n">
        <x:v>0</x:v>
      </x:c>
      <x:c r="AA69" t="n">
        <x:v>6.843399450292215</x:v>
      </x:c>
      <x:c r="AB69" t="n">
        <x:v>0</x:v>
      </x:c>
      <x:c r="AC69" t="n">
        <x:v>0</x:v>
      </x:c>
    </x:row>
    <x:row r="70">
      <x:c r="A70" t="n">
        <x:v>2094</x:v>
      </x:c>
      <x:c r="B70" t="n">
        <x:v>337.10911321361004</x:v>
      </x:c>
      <x:c r="C70" t="n">
        <x:v>1.5</x:v>
      </x:c>
      <x:c r="D70" t="n">
        <x:v>15.2</x:v>
      </x:c>
      <x:c r="E70" t="n">
        <x:v>0.5187370317384769</x:v>
      </x:c>
      <x:c r="F70" t="n">
        <x:v>0.14560851138029723</x:v>
      </x:c>
      <x:c r="G70" t="n">
        <x:v>0.02265021288137957</x:v>
      </x:c>
      <x:c r="H70" t="n">
        <x:v>894.2497715086135</x:v>
      </x:c>
      <x:c r="I70" s="30" t="b">
        <x:v>0</x:v>
      </x:c>
      <x:c r="J70" t="n">
        <x:v>1.2599824156917654</x:v>
      </x:c>
      <x:c r="K70" t="n">
        <x:v>0.7761098641352325</x:v>
      </x:c>
      <x:c r="L70" t="n">
        <x:v>1398.6649445810604</x:v>
      </x:c>
      <x:c r="M70" t="n">
        <x:v>334.37672975209034</x:v>
      </x:c>
      <x:c r="N70" t="n">
        <x:v>1.0318650672420178</x:v>
      </x:c>
      <x:c r="O70" t="n">
        <x:v>0.9202956563387668</x:v>
      </x:c>
      <x:c r="P70" t="n">
        <x:v>0.0008757708709341107</x:v>
      </x:c>
      <x:c r="Q70" t="n">
        <x:v>8.120080316089435</x:v>
      </x:c>
      <x:c r="R70" t="n">
        <x:v>2313.6176153457313</x:v>
      </x:c>
      <x:c r="S70" t="n">
        <x:v>483.11061200351867</x:v>
      </x:c>
      <x:c r="T70" t="n">
        <x:v>12.310442176456803</x:v>
      </x:c>
      <x:c r="U70" t="n">
        <x:v>3.3289189692106818</x:v>
      </x:c>
      <x:c r="V70" t="n">
        <x:v>-89.24122337072775</x:v>
      </x:c>
      <x:c r="W70" t="n">
        <x:v>-112.4804870058124</x:v>
      </x:c>
      <x:c r="X70" t="n">
        <x:v>10.338567096875298</x:v>
      </x:c>
      <x:c r="Y70" t="n">
        <x:v>3.3289189692106818</x:v>
      </x:c>
      <x:c r="Z70" t="n">
        <x:v>0</x:v>
      </x:c>
      <x:c r="AA70" t="n">
        <x:v>7.009648127664617</x:v>
      </x:c>
      <x:c r="AB70" t="n">
        <x:v>0</x:v>
      </x:c>
      <x:c r="AC70" t="n">
        <x:v>0</x:v>
      </x:c>
    </x:row>
    <x:row r="71">
      <x:c r="A71" t="n">
        <x:v>2095</x:v>
      </x:c>
      <x:c r="B71" t="n">
        <x:v>335.94650595202387</x:v>
      </x:c>
      <x:c r="C71" t="n">
        <x:v>1.5</x:v>
      </x:c>
      <x:c r="D71" t="n">
        <x:v>15.2</x:v>
      </x:c>
      <x:c r="E71" t="n">
        <x:v>0.5244049091200723</x:v>
      </x:c>
      <x:c r="F71" t="n">
        <x:v>0.14272526967713892</x:v>
      </x:c>
      <x:c r="G71" t="n">
        <x:v>0.02220170861644383</x:v>
      </x:c>
      <x:c r="H71" t="n">
        <x:v>908.9253665994934</x:v>
      </x:c>
      <x:c r="I71" s="30" t="b">
        <x:v>0</x:v>
      </x:c>
      <x:c r="J71" t="n">
        <x:v>1.2504044130638556</x:v>
      </x:c>
      <x:c r="K71" t="n">
        <x:v>0.7793996420128974</x:v>
      </x:c>
      <x:c r="L71" t="n">
        <x:v>1396.9457878530225</x:v>
      </x:c>
      <x:c r="M71" t="n">
        <x:v>334.32212207106414</x:v>
      </x:c>
      <x:c r="N71" t="n">
        <x:v>1.013374043638297</x:v>
      </x:c>
      <x:c r="O71" t="n">
        <x:v>0.9150334667718817</x:v>
      </x:c>
      <x:c r="P71" t="n">
        <x:v>0.0008595597832568038</x:v>
      </x:c>
      <x:c r="Q71" t="n">
        <x:v>8.121056371646732</x:v>
      </x:c>
      <x:c r="R71" t="n">
        <x:v>2313.653523651372</x:v>
      </x:c>
      <x:c r="S71" t="n">
        <x:v>490.86841339638306</x:v>
      </x:c>
      <x:c r="T71" t="n">
        <x:v>12.751052875858578</x:v>
      </x:c>
      <x:c r="U71" t="n">
        <x:v>3.3269152621967857</x:v>
      </x:c>
      <x:c r="V71" t="n">
        <x:v>-79.81708575706597</x:v>
      </x:c>
      <x:c r="W71" t="n">
        <x:v>-110.0770664702591</x:v>
      </x:c>
      <x:c r="X71" t="n">
        <x:v>10.504584046682597</x:v>
      </x:c>
      <x:c r="Y71" t="n">
        <x:v>3.3269152621967857</x:v>
      </x:c>
      <x:c r="Z71" t="n">
        <x:v>0</x:v>
      </x:c>
      <x:c r="AA71" t="n">
        <x:v>7.177668784485811</x:v>
      </x:c>
      <x:c r="AB71" t="n">
        <x:v>0</x:v>
      </x:c>
      <x:c r="AC71" t="n">
        <x:v>0</x:v>
      </x:c>
    </x:row>
    <x:row r="72">
      <x:c r="A72" t="n">
        <x:v>2096</x:v>
      </x:c>
      <x:c r="B72" t="n">
        <x:v>334.79476619082453</x:v>
      </x:c>
      <x:c r="C72" t="n">
        <x:v>1.5</x:v>
      </x:c>
      <x:c r="D72" t="n">
        <x:v>15.2</x:v>
      </x:c>
      <x:c r="E72" t="n">
        <x:v>0.5299916158236146</x:v>
      </x:c>
      <x:c r="F72" t="n">
        <x:v>0.13989911998488044</x:v>
      </x:c>
      <x:c r="G72" t="n">
        <x:v>0.0217620853309814</x:v>
      </x:c>
      <x:c r="H72" t="n">
        <x:v>923.5953749836698</x:v>
      </x:c>
      <x:c r="I72" s="30" t="b">
        <x:v>0</x:v>
      </x:c>
      <x:c r="J72" t="n">
        <x:v>1.2408482419393325</x:v>
      </x:c>
      <x:c r="K72" t="n">
        <x:v>0.7826011603416767</x:v>
      </x:c>
      <x:c r="L72" t="n">
        <x:v>1395.2470325197107</x:v>
      </x:c>
      <x:c r="M72" t="n">
        <x:v>334.26775584409154</x:v>
      </x:c>
      <x:c r="N72" t="n">
        <x:v>0.9949926599301177</x:v>
      </x:c>
      <x:c r="O72" t="n">
        <x:v>0.9097813767486707</x:v>
      </x:c>
      <x:c r="P72" t="n">
        <x:v>0.0008435779170722438</x:v>
      </x:c>
      <x:c r="Q72" t="n">
        <x:v>8.122026054312451</x:v>
      </x:c>
      <x:c r="R72" t="n">
        <x:v>2313.687680688281</x:v>
      </x:c>
      <x:c r="S72" t="n">
        <x:v>498.71140367142795</x:v>
      </x:c>
      <x:c r="T72" t="n">
        <x:v>13.200541006120078</x:v>
      </x:c>
      <x:c r="U72" t="n">
        <x:v>3.324947799890084</x:v>
      </x:c>
      <x:c r="V72" t="n">
        <x:v>-69.94149255083597</x:v>
      </x:c>
      <x:c r="W72" t="n">
        <x:v>-107.60789546286802</x:v>
      </x:c>
      <x:c r="X72" t="n">
        <x:v>10.672424038568558</x:v>
      </x:c>
      <x:c r="Y72" t="n">
        <x:v>3.324947799890084</x:v>
      </x:c>
      <x:c r="Z72" t="n">
        <x:v>0</x:v>
      </x:c>
      <x:c r="AA72" t="n">
        <x:v>7.347476238678474</x:v>
      </x:c>
      <x:c r="AB72" t="n">
        <x:v>0</x:v>
      </x:c>
      <x:c r="AC72" t="n">
        <x:v>0</x:v>
      </x:c>
    </x:row>
    <x:row r="73">
      <x:c r="A73" t="n">
        <x:v>2097</x:v>
      </x:c>
      <x:c r="B73" t="n">
        <x:v>333.6536297494946</x:v>
      </x:c>
      <x:c r="C73" t="n">
        <x:v>1.5</x:v>
      </x:c>
      <x:c r="D73" t="n">
        <x:v>15.2</x:v>
      </x:c>
      <x:c r="E73" t="n">
        <x:v>0.5354977049191406</x:v>
      </x:c>
      <x:c r="F73" t="n">
        <x:v>0.1371289318059624</x:v>
      </x:c>
      <x:c r="G73" t="n">
        <x:v>0.021331167169816364</x:v>
      </x:c>
      <x:c r="H73" t="n">
        <x:v>938.2598772787507</x:v>
      </x:c>
      <x:c r="I73" s="30" t="b">
        <x:v>0</x:v>
      </x:c>
      <x:c r="J73" t="n">
        <x:v>1.2313123128050474</x:v>
      </x:c>
      <x:c r="K73" t="n">
        <x:v>0.7857151695727285</x:v>
      </x:c>
      <x:c r="L73" t="n">
        <x:v>1393.5669496493686</x:v>
      </x:c>
      <x:c r="M73" t="n">
        <x:v>334.2136288559977</x:v>
      </x:c>
      <x:c r="N73" t="n">
        <x:v>0.97671803151173</x:v>
      </x:c>
      <x:c r="O73" t="n">
        <x:v>0.9045385625631857</x:v>
      </x:c>
      <x:c r="P73" t="n">
        <x:v>0.0008278281881764736</x:v>
      </x:c>
      <x:c r="Q73" t="n">
        <x:v>8.12298953343791</x:v>
      </x:c>
      <x:c r="R73" t="n">
        <x:v>2313.720171866843</x:v>
      </x:c>
      <x:c r="S73" t="n">
        <x:v>506.6402221864194</x:v>
      </x:c>
      <x:c r="T73" t="n">
        <x:v>13.659011717242759</x:v>
      </x:c>
      <x:c r="U73" t="n">
        <x:v>3.3230153484416576</x:v>
      </x:c>
      <x:c r="V73" t="n">
        <x:v>-59.60549618203487</x:v>
      </x:c>
      <x:c r="W73" t="n">
        <x:v>-105.07428319653187</x:v>
      </x:c>
      <x:c r="X73" t="n">
        <x:v>10.842100754789374</x:v>
      </x:c>
      <x:c r="Y73" t="n">
        <x:v>3.3230153484416576</x:v>
      </x:c>
      <x:c r="Z73" t="n">
        <x:v>0</x:v>
      </x:c>
      <x:c r="AA73" t="n">
        <x:v>7.519085406347717</x:v>
      </x:c>
      <x:c r="AB73" t="n">
        <x:v>0</x:v>
      </x:c>
      <x:c r="AC73" t="n">
        <x:v>0</x:v>
      </x:c>
    </x:row>
    <x:row r="74">
      <x:c r="A74" t="n">
        <x:v>2098</x:v>
      </x:c>
      <x:c r="B74" t="n">
        <x:v>332.52283943475504</x:v>
      </x:c>
      <x:c r="C74" t="n">
        <x:v>1.5</x:v>
      </x:c>
      <x:c r="D74" t="n">
        <x:v>15.2</x:v>
      </x:c>
      <x:c r="E74" t="n">
        <x:v>0.5409237135478835</x:v>
      </x:c>
      <x:c r="F74" t="n">
        <x:v>0.13441359702817685</x:v>
      </x:c>
      <x:c r="G74" t="n">
        <x:v>0.020908781759938613</x:v>
      </x:c>
      <x:c r="H74" t="n">
        <x:v>952.9189535652029</x:v>
      </x:c>
      <x:c r="I74" s="30" t="b">
        <x:v>0</x:v>
      </x:c>
      <x:c r="J74" t="n">
        <x:v>1.221795103937934</x:v>
      </x:c>
      <x:c r="K74" t="n">
        <x:v>0.788742404319449</x:v>
      </x:c>
      <x:c r="L74" t="n">
        <x:v>1391.90395682988</x:v>
      </x:c>
      <x:c r="M74" t="n">
        <x:v>334.15973891193045</x:v>
      </x:c>
      <x:c r="N74" t="n">
        <x:v>0.9585473317277098</x:v>
      </x:c>
      <x:c r="O74" t="n">
        <x:v>0.899304269121964</x:v>
      </x:c>
      <x:c r="P74" t="n">
        <x:v>0.0008123128490385927</x:v>
      </x:c>
      <x:c r="Q74" t="n">
        <x:v>8.123946974509279</x:v>
      </x:c>
      <x:c r="R74" t="n">
        <x:v>2313.751078431928</x:v>
      </x:c>
      <x:c r="S74" t="n">
        <x:v>514.6555160533308</x:v>
      </x:c>
      <x:c r="T74" t="n">
        <x:v>14.126570554859265</x:v>
      </x:c>
      <x:c r="U74" t="n">
        <x:v>3.3211167350582773</x:v>
      </x:c>
      <x:c r="V74" t="n">
        <x:v>-48.80004236223388</x:v>
      </x:c>
      <x:c r="W74" t="n">
        <x:v>-102.47753018031881</x:v>
      </x:c>
      <x:c r="X74" t="n">
        <x:v>11.013628043541278</x:v>
      </x:c>
      <x:c r="Y74" t="n">
        <x:v>3.3211167350582773</x:v>
      </x:c>
      <x:c r="Z74" t="n">
        <x:v>0</x:v>
      </x:c>
      <x:c r="AA74" t="n">
        <x:v>7.692511308483001</x:v>
      </x:c>
      <x:c r="AB74" t="n">
        <x:v>0</x:v>
      </x:c>
      <x:c r="AC74" t="n">
        <x:v>0</x:v>
      </x:c>
    </x:row>
    <x:row r="75">
      <x:c r="A75" t="n">
        <x:v>2099</x:v>
      </x:c>
      <x:c r="B75" t="n">
        <x:v>331.4021448476265</x:v>
      </x:c>
      <x:c r="C75" t="n">
        <x:v>1.5</x:v>
      </x:c>
      <x:c r="D75" t="n">
        <x:v>15.2</x:v>
      </x:c>
      <x:c r="E75" t="n">
        <x:v>0.546270163160964</x:v>
      </x:c>
      <x:c r="F75" t="n">
        <x:v>0.13175202948140777</x:v>
      </x:c>
      <x:c r="G75" t="n">
        <x:v>0.020494760141552312</x:v>
      </x:c>
      <x:c r="H75" t="n">
        <x:v>967.5726834020419</x:v>
      </x:c>
      <x:c r="I75" s="30" t="b">
        <x:v>0</x:v>
      </x:c>
      <x:c r="J75" t="n">
        <x:v>1.2122951563031137</x:v>
      </x:c>
      <x:c r="K75" t="n">
        <x:v>0.7916835839146003</x:v>
      </x:c>
      <x:c r="L75" t="n">
        <x:v>1390.2566057518504</x:v>
      </x:c>
      <x:c r="M75" t="n">
        <x:v>334.106083837174</x:v>
      </x:c>
      <x:c r="N75" t="n">
        <x:v>0.9404777908001811</x:v>
      </x:c>
      <x:c r="O75" t="n">
        <x:v>0.8940778042014554</x:v>
      </x:c>
      <x:c r="P75" t="n">
        <x:v>0.0007970335511326883</x:v>
      </x:c>
      <x:c r="Q75" t="n">
        <x:v>8.124898539240181</x:v>
      </x:c>
      <x:c r="R75" t="n">
        <x:v>2313.780477666047</x:v>
      </x:c>
      <x:c r="S75" t="n">
        <x:v>522.7579402512341</x:v>
      </x:c>
      <x:c r="T75" t="n">
        <x:v>14.603323465975892</x:v>
      </x:c>
      <x:c r="U75" t="n">
        <x:v>3.31925084406799</x:v>
      </x:c>
      <x:c r="V75" t="n">
        <x:v>-37.51596974032598</x:v>
      </x:c>
      <x:c r="W75" t="n">
        <x:v>-99.81892813884089</x:v>
      </x:c>
      <x:c r="X75" t="n">
        <x:v>11.18701992137641</x:v>
      </x:c>
      <x:c r="Y75" t="n">
        <x:v>3.31925084406799</x:v>
      </x:c>
      <x:c r="Z75" t="n">
        <x:v>0</x:v>
      </x:c>
      <x:c r="AA75" t="n">
        <x:v>7.867769077308419</x:v>
      </x:c>
      <x:c r="AB75" t="n">
        <x:v>0</x:v>
      </x:c>
      <x:c r="AC75" t="n">
        <x:v>0</x:v>
      </x:c>
    </x:row>
    <x:row r="76">
      <x:c r="A76" t="n">
        <x:v>2100</x:v>
      </x:c>
      <x:c r="B76" t="n">
        <x:v>330.2913021965838</x:v>
      </x:c>
      <x:c r="C76" t="n">
        <x:v>1.5</x:v>
      </x:c>
      <x:c r="D76" t="n">
        <x:v>15.2</x:v>
      </x:c>
      <x:c r="E76" t="n">
        <x:v>0.5515375597918892</x:v>
      </x:c>
      <x:c r="F76" t="n">
        <x:v>0.12914316450314842</x:v>
      </x:c>
      <x:c r="G76" t="n">
        <x:v>0.020088936700489744</x:v>
      </x:c>
      <x:c r="H76" t="n">
        <x:v>982.22114584225</x:v>
      </x:c>
      <x:c r="I76" s="30" t="b">
        <x:v>0</x:v>
      </x:c>
      <x:c r="J76" t="n">
        <x:v>1.2028110690893772</x:v>
      </x:c>
      <x:c r="K76" t="n">
        <x:v>0.7945394129307065</x:v>
      </x:c>
      <x:c r="L76" t="n">
        <x:v>1388.6235708439701</x:v>
      </x:c>
      <x:c r="M76" t="n">
        <x:v>334.0526614769641</x:v>
      </x:c>
      <x:c r="N76" t="n">
        <x:v>0.9225066947757804</x:v>
      </x:c>
      <x:c r="O76" t="n">
        <x:v>0.8888585331837274</x:v>
      </x:c>
      <x:c r="P76" t="n">
        <x:v>0.0007819914020356062</x:v>
      </x:c>
      <x:c r="Q76" t="n">
        <x:v>8.125844385661555</x:v>
      </x:c>
      <x:c r="R76" t="n">
        <x:v>2313.808443082599</x:v>
      </x:c>
      <x:c r="S76" t="n">
        <x:v>530.948157738806</x:v>
      </x:c>
      <x:c r="T76" t="n">
        <x:v>15.089376804875124</x:v>
      </x:c>
      <x:c r="U76" t="n">
        <x:v>3.317416613296256</x:v>
      </x:c>
      <x:c r="V76" t="n">
        <x:v>-25.744009548747105</x:v>
      </x:c>
      <x:c r="W76" t="n">
        <x:v>-97.09975992765507</x:v>
      </x:c>
      <x:c r="X76" t="n">
        <x:v>11.362290575610448</x:v>
      </x:c>
      <x:c r="Y76" t="n">
        <x:v>3.317416613296256</x:v>
      </x:c>
      <x:c r="Z76" t="n">
        <x:v>0</x:v>
      </x:c>
      <x:c r="AA76" t="n">
        <x:v>8.044873962314192</x:v>
      </x:c>
      <x:c r="AB76" t="n">
        <x:v>0</x:v>
      </x:c>
      <x:c r="AC76" t="n">
        <x:v>0</x:v>
      </x:c>
    </x:row>
    <x:row r="77">
      <x:c r="A77" t="n">
        <x:v>2101</x:v>
      </x:c>
      <x:c r="B77" t="n">
        <x:v>329.1900743351523</x:v>
      </x:c>
      <x:c r="C77" t="n">
        <x:v>1.5</x:v>
      </x:c>
      <x:c r="D77" t="n">
        <x:v>15.2</x:v>
      </x:c>
      <x:c r="E77" t="n">
        <x:v>0.5567281561638</x:v>
      </x:c>
      <x:c r="F77" t="n">
        <x:v>0.1265859585126221</x:v>
      </x:c>
      <x:c r="G77" t="n">
        <x:v>0.019691149101963432</x:v>
      </x:c>
      <x:c r="H77" t="n">
        <x:v>996.8644176860862</x:v>
      </x:c>
      <x:c r="I77" s="30" t="b">
        <x:v>0</x:v>
      </x:c>
      <x:c r="J77" t="n">
        <x:v>1.1933488516510304</x:v>
      </x:c>
      <x:c r="K77" t="n">
        <x:v>0.7973106060975118</x:v>
      </x:c>
      <x:c r="L77" t="n">
        <x:v>1387.1289287248933</x:v>
      </x:c>
      <x:c r="M77" t="n">
        <x:v>333.9997292301506</x:v>
      </x:c>
      <x:c r="N77" t="n">
        <x:v>0.9046313880458661</x:v>
      </x:c>
      <x:c r="O77" t="n">
        <x:v>0.8837072798716061</x:v>
      </x:c>
      <x:c r="P77" t="n">
        <x:v>0.0007671870177336467</x:v>
      </x:c>
      <x:c r="Q77" t="n">
        <x:v>8.126784668022717</x:v>
      </x:c>
      <x:c r="R77" t="n">
        <x:v>2313.835044609691</x:v>
      </x:c>
      <x:c r="S77" t="n">
        <x:v>539.2268395664704</x:v>
      </x:c>
      <x:c r="T77" t="n">
        <x:v>15.531135782254648</x:v>
      </x:c>
      <x:c r="U77" t="n">
        <x:v>3.3156130307237657</x:v>
      </x:c>
      <x:c r="V77" t="n">
        <x:v>-13.528486797216223</x:v>
      </x:c>
      <x:c r="W77" t="n">
        <x:v>-94.33346057713325</x:v>
      </x:c>
      <x:c r="X77" t="n">
        <x:v>11.539454366722467</x:v>
      </x:c>
      <x:c r="Y77" t="n">
        <x:v>3.3156130307237657</x:v>
      </x:c>
      <x:c r="Z77" t="n">
        <x:v>0</x:v>
      </x:c>
      <x:c r="AA77" t="n">
        <x:v>8.223841335998701</x:v>
      </x:c>
      <x:c r="AB77" t="n">
        <x:v>0</x:v>
      </x:c>
      <x:c r="AC77" t="n">
        <x:v>0</x:v>
      </x:c>
    </x:row>
    <x:row r="78">
      <x:c r="A78" t="n">
        <x:v>2102</x:v>
      </x:c>
      <x:c r="B78" t="n">
        <x:v>328.0982305077535</x:v>
      </x:c>
      <x:c r="C78" t="n">
        <x:v>1.5</x:v>
      </x:c>
      <x:c r="D78" t="n">
        <x:v>15.2</x:v>
      </x:c>
      <x:c r="E78" t="n">
        <x:v>0.5618436655624254</x:v>
      </x:c>
      <x:c r="F78" t="n">
        <x:v>0.12407938859333616</x:v>
      </x:c>
      <x:c r="G78" t="n">
        <x:v>0.01930123822563006</x:v>
      </x:c>
      <x:c r="H78" t="n">
        <x:v>1011.5025740205238</x:v>
      </x:c>
      <x:c r="I78" s="30" t="b">
        <x:v>0</x:v>
      </x:c>
      <x:c r="J78" t="n">
        <x:v>1.1839120527523979</x:v>
      </x:c>
      <x:c r="K78" t="n">
        <x:v>0.799997906318355</x:v>
      </x:c>
      <x:c r="L78" t="n">
        <x:v>1385.7609511921787</x:v>
      </x:c>
      <x:c r="M78" t="n">
        <x:v>333.94728260028035</x:v>
      </x:c>
      <x:c r="N78" t="n">
        <x:v>0.8868492711050315</x:v>
      </x:c>
      <x:c r="O78" t="n">
        <x:v>0.8786184662710315</x:v>
      </x:c>
      <x:c r="P78" t="n">
        <x:v>0.0007526205705123576</x:v>
      </x:c>
      <x:c r="Q78" t="n">
        <x:v>8.127719536940775</x:v>
      </x:c>
      <x:c r="R78" t="n">
        <x:v>2313.860348764998</x:v>
      </x:c>
      <x:c r="S78" t="n">
        <x:v>547.5946649882005</x:v>
      </x:c>
      <x:c r="T78" t="n">
        <x:v>15.959286893005036</x:v>
      </x:c>
      <x:c r="U78" t="n">
        <x:v>3.313839131400135</x:v>
      </x:c>
      <x:c r="V78" t="n">
        <x:v>-0.8830390356113225</x:v>
      </x:c>
      <x:c r="W78" t="n">
        <x:v>-91.52595157199154</x:v>
      </x:c>
      <x:c r="X78" t="n">
        <x:v>11.71852583074749</x:v>
      </x:c>
      <x:c r="Y78" t="n">
        <x:v>3.313839131400135</x:v>
      </x:c>
      <x:c r="Z78" t="n">
        <x:v>0</x:v>
      </x:c>
      <x:c r="AA78" t="n">
        <x:v>8.404686699347355</x:v>
      </x:c>
      <x:c r="AB78" t="n">
        <x:v>0</x:v>
      </x:c>
      <x:c r="AC78" t="n">
        <x:v>0</x:v>
      </x:c>
    </x:row>
    <x:row r="79">
      <x:c r="A79" t="n">
        <x:v>2103</x:v>
      </x:c>
      <x:c r="B79" t="n">
        <x:v>327.0155461240636</x:v>
      </x:c>
      <x:c r="C79" t="n">
        <x:v>1.5</x:v>
      </x:c>
      <x:c r="D79" t="n">
        <x:v>15.2</x:v>
      </x:c>
      <x:c r="E79" t="n">
        <x:v>0.5668853983079378</x:v>
      </x:c>
      <x:c r="F79" t="n">
        <x:v>0.12162245208390143</x:v>
      </x:c>
      <x:c r="G79" t="n">
        <x:v>0.018919048101940217</x:v>
      </x:c>
      <x:c r="H79" t="n">
        <x:v>1026.1356886222159</x:v>
      </x:c>
      <x:c r="I79" s="30" t="b">
        <x:v>0</x:v>
      </x:c>
      <x:c r="J79" t="n">
        <x:v>1.1745024644813213</x:v>
      </x:c>
      <x:c r="K79" t="n">
        <x:v>0.8026020699235854</x:v>
      </x:c>
      <x:c r="L79" t="n">
        <x:v>1384.5089039588468</x:v>
      </x:c>
      <x:c r="M79" t="n">
        <x:v>333.895317132152</x:v>
      </x:c>
      <x:c r="N79" t="n">
        <x:v>0.869157798679955</x:v>
      </x:c>
      <x:c r="O79" t="n">
        <x:v>0.8735869755157373</x:v>
      </x:c>
      <x:c r="P79" t="n">
        <x:v>0.0007382918327941093</x:v>
      </x:c>
      <x:c r="Q79" t="n">
        <x:v>8.128649139529054</x:v>
      </x:c>
      <x:c r="R79" t="n">
        <x:v>2313.8844188220883</x:v>
      </x:c>
      <x:c r="S79" t="n">
        <x:v>556.0523215730022</x:v>
      </x:c>
      <x:c r="T79" t="n">
        <x:v>16.397045884867293</x:v>
      </x:c>
      <x:c r="U79" t="n">
        <x:v>3.312093994590394</x:v>
      </x:c>
      <x:c r="V79" t="n">
        <x:v>12.201912854665576</x:v>
      </x:c>
      <x:c r="W79" t="n">
        <x:v>-88.67782749926802</x:v>
      </x:c>
      <x:c r="X79" t="n">
        <x:v>11.899519681662248</x:v>
      </x:c>
      <x:c r="Y79" t="n">
        <x:v>3.312093994590394</x:v>
      </x:c>
      <x:c r="Z79" t="n">
        <x:v>0</x:v>
      </x:c>
      <x:c r="AA79" t="n">
        <x:v>8.587425687071853</x:v>
      </x:c>
      <x:c r="AB79" t="n">
        <x:v>0</x:v>
      </x:c>
      <x:c r="AC79" t="n">
        <x:v>0</x:v>
      </x:c>
    </x:row>
    <x:row r="80">
      <x:c r="A80" t="n">
        <x:v>2104</x:v>
      </x:c>
      <x:c r="B80" t="n">
        <x:v>325.9418025551565</x:v>
      </x:c>
      <x:c r="C80" t="n">
        <x:v>1.5</x:v>
      </x:c>
      <x:c r="D80" t="n">
        <x:v>15.2</x:v>
      </x:c>
      <x:c r="E80" t="n">
        <x:v>0.5718543640728578</x:v>
      </x:c>
      <x:c r="F80" t="n">
        <x:v>0.1192141661769546</x:v>
      </x:c>
      <x:c r="G80" t="n">
        <x:v>0.018544425849748487</x:v>
      </x:c>
      <x:c r="H80" t="n">
        <x:v>1040.7638342581429</x:v>
      </x:c>
      <x:c r="I80" s="30" t="b">
        <x:v>0</x:v>
      </x:c>
      <x:c r="J80" t="n">
        <x:v>1.1651206370247582</x:v>
      </x:c>
      <x:c r="K80" t="n">
        <x:v>0.8051238562291406</x:v>
      </x:c>
      <x:c r="L80" t="n">
        <x:v>1383.3629624232549</x:v>
      </x:c>
      <x:c r="M80" t="n">
        <x:v>333.8438284114377</x:v>
      </x:c>
      <x:c r="N80" t="n">
        <x:v>0.851554478129888</x:v>
      </x:c>
      <x:c r="O80" t="n">
        <x:v>0.8686081144718463</x:v>
      </x:c>
      <x:c r="P80" t="n">
        <x:v>0.0007242002172691282</x:v>
      </x:c>
      <x:c r="Q80" t="n">
        <x:v>8.129573619509845</x:v>
      </x:c>
      <x:c r="R80" t="n">
        <x:v>2313.9073149686415</x:v>
      </x:c>
      <x:c r="S80" t="n">
        <x:v>564.6005053161027</x:v>
      </x:c>
      <x:c r="T80" t="n">
        <x:v>16.844058252041805</x:v>
      </x:c>
      <x:c r="U80" t="n">
        <x:v>3.310376741133564</x:v>
      </x:c>
      <x:c r="V80" t="n">
        <x:v>25.735594365573817</x:v>
      </x:c>
      <x:c r="W80" t="n">
        <x:v>-85.78979181814536</x:v>
      </x:c>
      <x:c r="X80" t="n">
        <x:v>12.082450813764599</x:v>
      </x:c>
      <x:c r="Y80" t="n">
        <x:v>3.310376741133564</x:v>
      </x:c>
      <x:c r="Z80" t="n">
        <x:v>0</x:v>
      </x:c>
      <x:c r="AA80" t="n">
        <x:v>8.772074072631035</x:v>
      </x:c>
      <x:c r="AB80" t="n">
        <x:v>0</x:v>
      </x:c>
      <x:c r="AC80" t="n">
        <x:v>0</x:v>
      </x:c>
    </x:row>
    <x:row r="81">
      <x:c r="A81" t="n">
        <x:v>2105</x:v>
      </x:c>
      <x:c r="B81" t="n">
        <x:v>324.8767869464792</x:v>
      </x:c>
      <x:c r="C81" t="n">
        <x:v>1.5</x:v>
      </x:c>
      <x:c r="D81" t="n">
        <x:v>15.2</x:v>
      </x:c>
      <x:c r="E81" t="n">
        <x:v>0.5767513485247818</x:v>
      </x:c>
      <x:c r="F81" t="n">
        <x:v>0.11685356752602195</x:v>
      </x:c>
      <x:c r="G81" t="n">
        <x:v>0.018177221615158966</x:v>
      </x:c>
      <x:c r="H81" t="n">
        <x:v>1055.3870829096181</x:v>
      </x:c>
      <x:c r="I81" s="30" t="b">
        <x:v>0</x:v>
      </x:c>
      <x:c r="J81" t="n">
        <x:v>1.155766254282641</x:v>
      </x:c>
      <x:c r="K81" t="n">
        <x:v>0.8075640202383577</x:v>
      </x:c>
      <x:c r="L81" t="n">
        <x:v>1382.3141345771198</x:v>
      </x:c>
      <x:c r="M81" t="n">
        <x:v>333.7928120643079</x:v>
      </x:c>
      <x:c r="N81" t="n">
        <x:v>0.8340368680463357</x:v>
      </x:c>
      <x:c r="O81" t="n">
        <x:v>0.8636775792466276</x:v>
      </x:c>
      <x:c r="P81" t="n">
        <x:v>0.0007103448136074527</x:v>
      </x:c>
      <x:c r="Q81" t="n">
        <x:v>8.130493117315337</x:v>
      </x:c>
      <x:c r="R81" t="n">
        <x:v>2313.929094456951</x:v>
      </x:c>
      <x:c r="S81" t="n">
        <x:v>573.2399207498678</x:v>
      </x:c>
      <x:c r="T81" t="n">
        <x:v>17.300080241043805</x:v>
      </x:c>
      <x:c r="U81" t="n">
        <x:v>3.3086865309947453</x:v>
      </x:c>
      <x:c r="V81" t="n">
        <x:v>39.72698807562287</x:v>
      </x:c>
      <x:c r="W81" t="n">
        <x:v>-82.86262543839374</x:v>
      </x:c>
      <x:c r="X81" t="n">
        <x:v>12.26733430404717</x:v>
      </x:c>
      <x:c r="Y81" t="n">
        <x:v>3.3086865309947453</x:v>
      </x:c>
      <x:c r="Z81" t="n">
        <x:v>0</x:v>
      </x:c>
      <x:c r="AA81" t="n">
        <x:v>8.958647773052425</x:v>
      </x:c>
      <x:c r="AB81" t="n">
        <x:v>0</x:v>
      </x:c>
      <x:c r="AC81" t="n">
        <x:v>0</x:v>
      </x:c>
    </x:row>
    <x:row r="82">
      <x:c r="A82" t="n">
        <x:v>2106</x:v>
      </x:c>
      <x:c r="B82" t="n">
        <x:v>323.8202920440145</x:v>
      </x:c>
      <x:c r="C82" t="n">
        <x:v>1.5</x:v>
      </x:c>
      <x:c r="D82" t="n">
        <x:v>15.2</x:v>
      </x:c>
      <x:c r="E82" t="n">
        <x:v>0.5815769706776112</x:v>
      </x:c>
      <x:c r="F82" t="n">
        <x:v>0.11453971186016805</x:v>
      </x:c>
      <x:c r="G82" t="n">
        <x:v>0.01781728851158169</x:v>
      </x:c>
      <x:c r="H82" t="n">
        <x:v>1070.0055059389406</x:v>
      </x:c>
      <x:c r="I82" s="30" t="b">
        <x:v>0</x:v>
      </x:c>
      <x:c r="J82" t="n">
        <x:v>1.1464384071554516</x:v>
      </x:c>
      <x:c r="K82" t="n">
        <x:v>0.8099233076324821</x:v>
      </x:c>
      <x:c r="L82" t="n">
        <x:v>1381.354190446759</x:v>
      </x:c>
      <x:c r="M82" t="n">
        <x:v>333.74226375706</x:v>
      </x:c>
      <x:c r="N82" t="n">
        <x:v>0.8166025769988737</x:v>
      </x:c>
      <x:c r="O82" t="n">
        <x:v>0.8587914233967506</x:v>
      </x:c>
      <x:c r="P82" t="n">
        <x:v>0.0006967244220404755</x:v>
      </x:c>
      <x:c r="Q82" t="n">
        <x:v>8.131407770179615</x:v>
      </x:c>
      <x:c r="R82" t="n">
        <x:v>2313.9498117470816</x:v>
      </x:c>
      <x:c r="S82" t="n">
        <x:v>581.9712810544715</x:v>
      </x:c>
      <x:c r="T82" t="n">
        <x:v>17.764950704618506</x:v>
      </x:c>
      <x:c r="U82" t="n">
        <x:v>3.3070225609939863</x:v>
      </x:c>
      <x:c r="V82" t="n">
        <x:v>54.18491621924739</x:v>
      </x:c>
      <x:c r="W82" t="n">
        <x:v>-79.89716372700187</x:v>
      </x:c>
      <x:c r="X82" t="n">
        <x:v>12.454185414565691</x:v>
      </x:c>
      <x:c r="Y82" t="n">
        <x:v>3.3070225609939863</x:v>
      </x:c>
      <x:c r="Z82" t="n">
        <x:v>0</x:v>
      </x:c>
      <x:c r="AA82" t="n">
        <x:v>9.147162853571704</x:v>
      </x:c>
      <x:c r="AB82" t="n">
        <x:v>0</x:v>
      </x:c>
      <x:c r="AC82" t="n">
        <x:v>0</x:v>
      </x:c>
    </x:row>
    <x:row r="83">
      <x:c r="A83" t="n">
        <x:v>2107</x:v>
      </x:c>
      <x:c r="B83" t="n">
        <x:v>322.77211603095515</x:v>
      </x:c>
      <x:c r="C83" t="n">
        <x:v>1.5</x:v>
      </x:c>
      <x:c r="D83" t="n">
        <x:v>15.2</x:v>
      </x:c>
      <x:c r="E83" t="n">
        <x:v>0.586331725755265</x:v>
      </x:c>
      <x:c r="F83" t="n">
        <x:v>0.11227167360627474</x:v>
      </x:c>
      <x:c r="G83" t="n">
        <x:v>0.017464482560976064</x:v>
      </x:c>
      <x:c r="H83" t="n">
        <x:v>1084.6191742131853</x:v>
      </x:c>
      <x:c r="I83" s="30" t="b">
        <x:v>0</x:v>
      </x:c>
      <x:c r="J83" t="n">
        <x:v>1.137135791650599</x:v>
      </x:c>
      <x:c r="K83" t="n">
        <x:v>0.8122024514218911</x:v>
      </x:c>
      <x:c r="L83" t="n">
        <x:v>1380.4755975138864</x:v>
      </x:c>
      <x:c r="M83" t="n">
        <x:v>333.6921791957502</x:v>
      </x:c>
      <x:c r="N83" t="n">
        <x:v>0.7992492623884473</x:v>
      </x:c>
      <x:c r="O83" t="n">
        <x:v>0.853946028642317</x:v>
      </x:c>
      <x:c r="P83" t="n">
        <x:v>0.0006833375840757835</x:v>
      </x:c>
      <x:c r="Q83" t="n">
        <x:v>8.132317712223816</x:v>
      </x:c>
      <x:c r="R83" t="n">
        <x:v>2313.9695186430495</x:v>
      </x:c>
      <x:c r="S83" t="n">
        <x:v>590.7953081683434</x:v>
      </x:c>
      <x:c r="T83" t="n">
        <x:v>18.23857010536031</x:v>
      </x:c>
      <x:c r="U83" t="n">
        <x:v>3.3053840626968904</x:v>
      </x:c>
      <x:c r="V83" t="n">
        <x:v>69.1181022619108</x:v>
      </x:c>
      <x:c r="W83" t="n">
        <x:v>-76.89427967810698</x:v>
      </x:c>
      <x:c r="X83" t="n">
        <x:v>12.643019594802547</x:v>
      </x:c>
      <x:c r="Y83" t="n">
        <x:v>3.3053840626968904</x:v>
      </x:c>
      <x:c r="Z83" t="n">
        <x:v>0</x:v>
      </x:c>
      <x:c r="AA83" t="n">
        <x:v>9.337635532105658</x:v>
      </x:c>
      <x:c r="AB83" t="n">
        <x:v>0</x:v>
      </x:c>
      <x:c r="AC83" t="n">
        <x:v>0</x:v>
      </x:c>
    </x:row>
    <x:row r="84">
      <x:c r="A84" t="n">
        <x:v>2108</x:v>
      </x:c>
      <x:c r="B84" t="n">
        <x:v>321.73206237291816</x:v>
      </x:c>
      <x:c r="C84" t="n">
        <x:v>1.5</x:v>
      </x:c>
      <x:c r="D84" t="n">
        <x:v>15.2</x:v>
      </x:c>
      <x:c r="E84" t="n">
        <x:v>0.5910160171814689</x:v>
      </x:c>
      <x:c r="F84" t="n">
        <x:v>0.11004854551879954</x:v>
      </x:c>
      <x:c r="G84" t="n">
        <x:v>0.017118662636257706</x:v>
      </x:c>
      <x:c r="H84" t="n">
        <x:v>1099.228158196004</x:v>
      </x:c>
      <x:c r="I84" s="30" t="b">
        <x:v>0</x:v>
      </x:c>
      <x:c r="J84" t="n">
        <x:v>1.1278568518070504</x:v>
      </x:c>
      <x:c r="K84" t="n">
        <x:v>0.8144021697969599</x:v>
      </x:c>
      <x:c r="L84" t="n">
        <x:v>1379.6714616092233</x:v>
      </x:c>
      <x:c r="M84" t="n">
        <x:v>333.64255412582855</x:v>
      </x:c>
      <x:c r="N84" t="n">
        <x:v>0.7819746293800465</x:v>
      </x:c>
      <x:c r="O84" t="n">
        <x:v>0.8491380779039717</x:v>
      </x:c>
      <x:c r="P84" t="n">
        <x:v>0.0006701826105650579</x:v>
      </x:c>
      <x:c r="Q84" t="n">
        <x:v>8.133223074535984</x:v>
      </x:c>
      <x:c r="R84" t="n">
        <x:v>2313.98826442236</x:v>
      </x:c>
      <x:c r="S84" t="n">
        <x:v>599.7127328984168</x:v>
      </x:c>
      <x:c r="T84" t="n">
        <x:v>18.720884857888237</x:v>
      </x:c>
      <x:c r="U84" t="n">
        <x:v>3.3037703004533547</x:v>
      </x:c>
      <x:c r="V84" t="n">
        <x:v>84.53521681934569</x:v>
      </x:c>
      <x:c r="W84" t="n">
        <x:v>-73.85487158892046</x:v>
      </x:c>
      <x:c r="X84" t="n">
        <x:v>12.833852484026119</x:v>
      </x:c>
      <x:c r="Y84" t="n">
        <x:v>3.3037703004533547</x:v>
      </x:c>
      <x:c r="Z84" t="n">
        <x:v>0</x:v>
      </x:c>
      <x:c r="AA84" t="n">
        <x:v>9.530082183572764</x:v>
      </x:c>
      <x:c r="AB84" t="n">
        <x:v>0</x:v>
      </x:c>
      <x:c r="AC84" t="n">
        <x:v>0</x:v>
      </x:c>
    </x:row>
    <x:row r="85">
      <x:c r="A85" t="n">
        <x:v>2109</x:v>
      </x:c>
      <x:c r="B85" t="n">
        <x:v>320.69993967024834</x:v>
      </x:c>
      <x:c r="C85" t="n">
        <x:v>1.5</x:v>
      </x:c>
      <x:c r="D85" t="n">
        <x:v>15.2</x:v>
      </x:c>
      <x:c r="E85" t="n">
        <x:v>0.5956301804126115</x:v>
      </x:c>
      <x:c r="F85" t="n">
        <x:v>0.10786943831686538</x:v>
      </x:c>
      <x:c r="G85" t="n">
        <x:v>0.016779690404845723</x:v>
      </x:c>
      <x:c r="H85" t="n">
        <x:v>1113.8325280155914</x:v>
      </x:c>
      <x:c r="I85" s="30" t="b">
        <x:v>0</x:v>
      </x:c>
      <x:c r="J85" t="n">
        <x:v>1.1185998821688021</x:v>
      </x:c>
      <x:c r="K85" t="n">
        <x:v>0.8165231648404573</x:v>
      </x:c>
      <x:c r="L85" t="n">
        <x:v>1378.935472815125</x:v>
      </x:c>
      <x:c r="M85" t="n">
        <x:v>333.59338433177777</x:v>
      </x:c>
      <x:c r="N85" t="n">
        <x:v>0.7647764298944092</x:v>
      </x:c>
      <x:c r="O85" t="n">
        <x:v>0.844364530491262</x:v>
      </x:c>
      <x:c r="P85" t="n">
        <x:v>0.0006572576073543019</x:v>
      </x:c>
      <x:c r="Q85" t="n">
        <x:v>8.13412398524674</x:v>
      </x:c>
      <x:c r="R85" t="n">
        <x:v>2314.006095959225</x:v>
      </x:c>
      <x:c r="S85" t="n">
        <x:v>608.7242950302042</x:v>
      </x:c>
      <x:c r="T85" t="n">
        <x:v>19.21187565789887</x:v>
      </x:c>
      <x:c r="U85" t="n">
        <x:v>3.3021805695721795</x:v>
      </x:c>
      <x:c r="V85" t="n">
        <x:v>100.44491190767238</x:v>
      </x:c>
      <x:c r="W85" t="n">
        <x:v>-70.77985402895007</x:v>
      </x:c>
      <x:c r="X85" t="n">
        <x:v>13.026699913646368</x:v>
      </x:c>
      <x:c r="Y85" t="n">
        <x:v>3.3021805695721795</x:v>
      </x:c>
      <x:c r="Z85" t="n">
        <x:v>0</x:v>
      </x:c>
      <x:c r="AA85" t="n">
        <x:v>9.724519344074189</x:v>
      </x:c>
      <x:c r="AB85" t="n">
        <x:v>0</x:v>
      </x:c>
      <x:c r="AC85" t="n">
        <x:v>0</x:v>
      </x:c>
    </x:row>
    <x:row r="86">
      <x:c r="A86" t="n">
        <x:v>2110</x:v>
      </x:c>
      <x:c r="B86" t="n">
        <x:v>319.67556151634096</x:v>
      </x:c>
      <x:c r="C86" t="n">
        <x:v>1.5</x:v>
      </x:c>
      <x:c r="D86" t="n">
        <x:v>15.2</x:v>
      </x:c>
      <x:c r="E86" t="n">
        <x:v>0.6001745006556994</x:v>
      </x:c>
      <x:c r="F86" t="n">
        <x:v>0.10573348032853631</x:v>
      </x:c>
      <x:c r="G86" t="n">
        <x:v>0.01644743027332787</x:v>
      </x:c>
      <x:c r="H86" t="n">
        <x:v>1128.4323535149356</x:v>
      </x:c>
      <x:c r="I86" s="30" t="b">
        <x:v>0</x:v>
      </x:c>
      <x:c r="J86" t="n">
        <x:v>1.1093631006530689</x:v>
      </x:c>
      <x:c r="K86" t="n">
        <x:v>0.8185661218538985</x:v>
      </x:c>
      <x:c r="L86" t="n">
        <x:v>1378.2618559527298</x:v>
      </x:c>
      <x:c r="M86" t="n">
        <x:v>333.5446656367549</x:v>
      </x:c>
      <x:c r="N86" t="n">
        <x:v>0.7476524616441477</x:v>
      </x:c>
      <x:c r="O86" t="n">
        <x:v>0.8396225992810838</x:v>
      </x:c>
      <x:c r="P86" t="n">
        <x:v>0.0006445604987219113</x:v>
      </x:c>
      <x:c r="Q86" t="n">
        <x:v>8.135020569601615</x:v>
      </x:c>
      <x:c r="R86" t="n">
        <x:v>2314.0230578417754</x:v>
      </x:c>
      <x:c r="S86" t="n">
        <x:v>617.8307434377256</x:v>
      </x:c>
      <x:c r="T86" t="n">
        <x:v>19.711548788371825</x:v>
      </x:c>
      <x:c r="U86" t="n">
        <x:v>3.3006141946204313</x:v>
      </x:c>
      <x:c r="V86" t="n">
        <x:v>116.85584650142377</x:v>
      </x:c>
      <x:c r="W86" t="n">
        <x:v>-67.67015121534824</x:v>
      </x:c>
      <x:c r="X86" t="n">
        <x:v>13.221577909567326</x:v>
      </x:c>
      <x:c r="Y86" t="n">
        <x:v>3.3006141946204313</x:v>
      </x:c>
      <x:c r="Z86" t="n">
        <x:v>0</x:v>
      </x:c>
      <x:c r="AA86" t="n">
        <x:v>9.920963714946895</x:v>
      </x:c>
      <x:c r="AB86" t="n">
        <x:v>0</x:v>
      </x:c>
      <x:c r="AC86" t="n">
        <x:v>0</x:v>
      </x:c>
    </x:row>
    <x:row r="87">
      <x:c r="A87" t="n">
        <x:v>2111</x:v>
      </x:c>
      <x:c r="B87" t="n">
        <x:v>318.65874636119025</x:v>
      </x:c>
      <x:c r="C87" t="n">
        <x:v>1.5</x:v>
      </x:c>
      <x:c r="D87" t="n">
        <x:v>15.2</x:v>
      </x:c>
      <x:c r="E87" t="n">
        <x:v>0.604649226005523</x:v>
      </x:c>
      <x:c r="F87" t="n">
        <x:v>0.1036398171421372</x:v>
      </x:c>
      <x:c r="G87" t="n">
        <x:v>0.01612174933322134</x:v>
      </x:c>
      <x:c r="H87" t="n">
        <x:v>1143.0277042889302</x:v>
      </x:c>
      <x:c r="I87" s="30" t="b">
        <x:v>0</x:v>
      </x:c>
      <x:c r="J87" t="n">
        <x:v>1.1001446997951638</x:v>
      </x:c>
      <x:c r="K87" t="n">
        <x:v>0.8205317091169188</x:v>
      </x:c>
      <x:c r="L87" t="n">
        <x:v>1377.6453252651138</x:v>
      </x:c>
      <x:c r="M87" t="n">
        <x:v>333.4963939022369</x:v>
      </x:c>
      <x:c r="N87" t="n">
        <x:v>0.7306005672038028</x:v>
      </x:c>
      <x:c r="O87" t="n">
        <x:v>0.8349097297354029</x:v>
      </x:c>
      <x:c r="P87" t="n">
        <x:v>0.0006320890487649493</x:v>
      </x:c>
      <x:c r="Q87" t="n">
        <x:v>8.135912950030571</x:v>
      </x:c>
      <x:c r="R87" t="n">
        <x:v>2314.039192483552</x:v>
      </x:c>
      <x:c r="S87" t="n">
        <x:v>627.0328361933128</x:v>
      </x:c>
      <x:c r="T87" t="n">
        <x:v>20.21992964826138</x:v>
      </x:c>
      <x:c r="U87" t="n">
        <x:v>3.299070527837496</x:v>
      </x:c>
      <x:c r="V87" t="n">
        <x:v>133.77670562184767</x:v>
      </x:c>
      <x:c r="W87" t="n">
        <x:v>-64.5266921456159</x:v>
      </x:c>
      <x:c r="X87" t="n">
        <x:v>13.418502694536894</x:v>
      </x:c>
      <x:c r="Y87" t="n">
        <x:v>3.299070527837496</x:v>
      </x:c>
      <x:c r="Z87" t="n">
        <x:v>0</x:v>
      </x:c>
      <x:c r="AA87" t="n">
        <x:v>10.119432166699397</x:v>
      </x:c>
      <x:c r="AB87" t="n">
        <x:v>0</x:v>
      </x:c>
      <x:c r="AC87" t="n">
        <x:v>0</x:v>
      </x:c>
    </x:row>
    <x:row r="88">
      <x:c r="A88" t="n">
        <x:v>2112</x:v>
      </x:c>
      <x:c r="B88" t="n">
        <x:v>317.64931737957176</x:v>
      </x:c>
      <x:c r="C88" t="n">
        <x:v>1.5</x:v>
      </x:c>
      <x:c r="D88" t="n">
        <x:v>15.2</x:v>
      </x:c>
      <x:c r="E88" t="n">
        <x:v>0.6090545771531142</x:v>
      </x:c>
      <x:c r="F88" t="n">
        <x:v>0.1015876112644776</x:v>
      </x:c>
      <x:c r="G88" t="n">
        <x:v>0.015802517307807625</x:v>
      </x:c>
      <x:c r="H88" t="n">
        <x:v>1157.618649711777</x:v>
      </x:c>
      <x:c r="I88" s="30" t="b">
        <x:v>0</x:v>
      </x:c>
      <x:c r="J88" t="n">
        <x:v>1.090942882240973</x:v>
      </x:c>
      <x:c r="K88" t="n">
        <x:v>0.8224205779477584</x:v>
      </x:c>
      <x:c r="L88" t="n">
        <x:v>1377.0810429408552</x:v>
      </x:c>
      <x:c r="M88" t="n">
        <x:v>333.44856502766856</x:v>
      </x:c>
      <x:c r="N88" t="n">
        <x:v>0.7136186331063997</x:v>
      </x:c>
      <x:c r="O88" t="n">
        <x:v>0.8302235806174197</x:v>
      </x:c>
      <x:c r="P88" t="n">
        <x:v>0.0006198408809248919</x:v>
      </x:c>
      <x:c r="Q88" t="n">
        <x:v>8.13680124621525</x:v>
      </x:c>
      <x:c r="R88" t="n">
        <x:v>2314.054540229564</x:v>
      </x:c>
      <x:c r="S88" t="n">
        <x:v>636.3313406773185</x:v>
      </x:c>
      <x:c r="T88" t="n">
        <x:v>20.73705793953745</x:v>
      </x:c>
      <x:c r="U88" t="n">
        <x:v>3.297548947654697</x:v>
      </x:c>
      <x:c r="V88" t="n">
        <x:v>151.21621461373041</x:v>
      </x:c>
      <x:c r="W88" t="n">
        <x:v>-61.350407013474154</x:v>
      </x:c>
      <x:c r="X88" t="n">
        <x:v>13.617490690494616</x:v>
      </x:c>
      <x:c r="Y88" t="n">
        <x:v>3.297548947654697</x:v>
      </x:c>
      <x:c r="Z88" t="n">
        <x:v>0</x:v>
      </x:c>
      <x:c r="AA88" t="n">
        <x:v>10.31994174283992</x:v>
      </x:c>
      <x:c r="AB88" t="n">
        <x:v>0</x:v>
      </x:c>
      <x:c r="AC88" t="n">
        <x:v>0</x:v>
      </x:c>
    </x:row>
    <x:row r="89">
      <x:c r="A89" t="n">
        <x:v>2113</x:v>
      </x:c>
      <x:c r="B89" t="n">
        <x:v>316.6471023434154</x:v>
      </x:c>
      <x:c r="C89" t="n">
        <x:v>1.5</x:v>
      </x:c>
      <x:c r="D89" t="n">
        <x:v>15.2</x:v>
      </x:c>
      <x:c r="E89" t="n">
        <x:v>0.6133907545303334</x:v>
      </x:c>
      <x:c r="F89" t="n">
        <x:v>0.09957604178584332</x:v>
      </x:c>
      <x:c r="G89" t="n">
        <x:v>0.01548960650002007</x:v>
      </x:c>
      <x:c r="H89" t="n">
        <x:v>1172.2052589572468</x:v>
      </x:c>
      <x:c r="I89" s="30" t="b">
        <x:v>0</x:v>
      </x:c>
      <x:c r="J89" t="n">
        <x:v>1.0817558848020363</x:v>
      </x:c>
      <x:c r="K89" t="n">
        <x:v>0.8242333629689899</x:v>
      </x:c>
      <x:c r="L89" t="n">
        <x:v>1376.5645811525508</x:v>
      </x:c>
      <x:c r="M89" t="n">
        <x:v>333.40117495011464</x:v>
      </x:c>
      <x:c r="N89" t="n">
        <x:v>0.6967045889612788</x:v>
      </x:c>
      <x:c r="O89" t="n">
        <x:v>0.8255620062749178</x:v>
      </x:c>
      <x:c r="P89" t="n">
        <x:v>0.0006078134957953937</x:v>
      </x:c>
      <x:c r="Q89" t="n">
        <x:v>8.137685575154197</x:v>
      </x:c>
      <x:c r="R89" t="n">
        <x:v>2314.06913945717</x:v>
      </x:c>
      <x:c r="S89" t="n">
        <x:v>645.727033687754</x:v>
      </x:c>
      <x:c r="T89" t="n">
        <x:v>21.262984090895365</x:v>
      </x:c>
      <x:c r="U89" t="n">
        <x:v>3.2960488573121713</x:v>
      </x:c>
      <x:c r="V89" t="n">
        <x:v>169.18314984731362</x:v>
      </x:c>
      <x:c r="W89" t="n">
        <x:v>-58.142224561533496</x:v>
      </x:c>
      <x:c r="X89" t="n">
        <x:v>13.818558520917934</x:v>
      </x:c>
      <x:c r="Y89" t="n">
        <x:v>3.2960488573121713</x:v>
      </x:c>
      <x:c r="Z89" t="n">
        <x:v>0</x:v>
      </x:c>
      <x:c r="AA89" t="n">
        <x:v>10.522509663605764</x:v>
      </x:c>
      <x:c r="AB89" t="n">
        <x:v>0</x:v>
      </x:c>
      <x:c r="AC89" t="n">
        <x:v>0</x:v>
      </x:c>
    </x:row>
    <x:row r="90">
      <x:c r="A90" t="n">
        <x:v>2114</x:v>
      </x:c>
      <x:c r="B90" t="n">
        <x:v>315.6519334980311</x:v>
      </x:c>
      <x:c r="C90" t="n">
        <x:v>1.5</x:v>
      </x:c>
      <x:c r="D90" t="n">
        <x:v>15.2</x:v>
      </x:c>
      <x:c r="E90" t="n">
        <x:v>0.6176579435395257</x:v>
      </x:c>
      <x:c r="F90" t="n">
        <x:v>0.09760430405162164</x:v>
      </x:c>
      <x:c r="G90" t="n">
        <x:v>0.015182891741363365</x:v>
      </x:c>
      <x:c r="H90" t="n">
        <x:v>1186.7876010137072</x:v>
      </x:c>
      <x:c r="I90" s="30" t="b">
        <x:v>0</x:v>
      </x:c>
      <x:c r="J90" t="n">
        <x:v>1.072581994241762</x:v>
      </x:c>
      <x:c r="K90" t="n">
        <x:v>0.8259706825090881</x:v>
      </x:c>
      <x:c r="L90" t="n">
        <x:v>1376.0918873124076</x:v>
      </x:c>
      <x:c r="M90" t="n">
        <x:v>333.3542196439144</x:v>
      </x:c>
      <x:c r="N90" t="n">
        <x:v>0.6798564065895282</x:v>
      </x:c>
      <x:c r="O90" t="n">
        <x:v>0.820923040368661</x:v>
      </x:c>
      <x:c r="P90" t="n">
        <x:v>0.0005960042873581937</x:v>
      </x:c>
      <x:c r="Q90" t="n">
        <x:v>8.138566051226293</x:v>
      </x:c>
      <x:c r="R90" t="n">
        <x:v>2314.083026672044</x:v>
      </x:c>
      <x:c r="S90" t="n">
        <x:v>655.2207015498828</x:v>
      </x:c>
      <x:c r="T90" t="n">
        <x:v>21.797766603021074</x:v>
      </x:c>
      <x:c r="U90" t="n">
        <x:v>3.2945696835654674</x:v>
      </x:c>
      <x:c r="V90" t="n">
        <x:v>187.68634676676922</x:v>
      </x:c>
      <x:c r="W90" t="n">
        <x:v>-54.903070117929644</x:v>
      </x:c>
      <x:c r="X90" t="n">
        <x:v>14.021723013167492</x:v>
      </x:c>
      <x:c r="Y90" t="n">
        <x:v>3.2945696835654674</x:v>
      </x:c>
      <x:c r="Z90" t="n">
        <x:v>0</x:v>
      </x:c>
      <x:c r="AA90" t="n">
        <x:v>10.727153329602025</x:v>
      </x:c>
      <x:c r="AB90" t="n">
        <x:v>0</x:v>
      </x:c>
      <x:c r="AC90" t="n">
        <x:v>0</x:v>
      </x:c>
    </x:row>
    <x:row r="91">
      <x:c r="A91" t="n">
        <x:v>2115</x:v>
      </x:c>
      <x:c r="B91" t="n">
        <x:v>314.6636474419261</x:v>
      </x:c>
      <x:c r="C91" t="n">
        <x:v>1.5</x:v>
      </x:c>
      <x:c r="D91" t="n">
        <x:v>15.2</x:v>
      </x:c>
      <x:c r="E91" t="n">
        <x:v>0.6218563183549722</x:v>
      </x:c>
      <x:c r="F91" t="n">
        <x:v>0.0956716093404287</x:v>
      </x:c>
      <x:c r="G91" t="n">
        <x:v>0.01488225034184446</x:v>
      </x:c>
      <x:c r="H91" t="n">
        <x:v>1201.365744695352</x:v>
      </x:c>
      <x:c r="I91" s="30" t="b">
        <x:v>0</x:v>
      </x:c>
      <x:c r="J91" t="n">
        <x:v>1.06341955711674</x:v>
      </x:c>
      <x:c r="K91" t="n">
        <x:v>0.8276331390898651</x:v>
      </x:c>
      <x:c r="L91" t="n">
        <x:v>1375.6592522722767</x:v>
      </x:c>
      <x:c r="M91" t="n">
        <x:v>333.3076951203399</x:v>
      </x:c>
      <x:c r="N91" t="n">
        <x:v>0.6630720991745258</x:v>
      </x:c>
      <x:c r="O91" t="n">
        <x:v>0.8163048809323636</x:v>
      </x:c>
      <x:c r="P91" t="n">
        <x:v>0.0005844105577766488</x:v>
      </x:c>
      <x:c r="Q91" t="n">
        <x:v>8.13944278625261</x:v>
      </x:c>
      <x:c r="R91" t="n">
        <x:v>2314.0962365994565</x:v>
      </x:c>
      <x:c r="S91" t="n">
        <x:v>664.8131402257965</x:v>
      </x:c>
      <x:c r="T91" t="n">
        <x:v>22.34147008003395</x:v>
      </x:c>
      <x:c r="U91" t="n">
        <x:v>3.2931108754749756</x:v>
      </x:c>
      <x:c r="V91" t="n">
        <x:v>206.7347059713282</x:v>
      </x:c>
      <x:c r="W91" t="n">
        <x:v>-51.63386413251226</x:v>
      </x:c>
      <x:c r="X91" t="n">
        <x:v>14.227001200832044</x:v>
      </x:c>
      <x:c r="Y91" t="n">
        <x:v>3.2931108754749756</x:v>
      </x:c>
      <x:c r="Z91" t="n">
        <x:v>0</x:v>
      </x:c>
      <x:c r="AA91" t="n">
        <x:v>10.93389032535707</x:v>
      </x:c>
      <x:c r="AB91" t="n">
        <x:v>0</x:v>
      </x:c>
      <x:c r="AC91" t="n">
        <x:v>0</x:v>
      </x:c>
    </x:row>
    <x:row r="92">
      <x:c r="A92" t="n">
        <x:v>2116</x:v>
      </x:c>
      <x:c r="B92" t="n">
        <x:v>313.6820850100097</x:v>
      </x:c>
      <x:c r="C92" t="n">
        <x:v>1.5</x:v>
      </x:c>
      <x:c r="D92" t="n">
        <x:v>15.2</x:v>
      </x:c>
      <x:c r="E92" t="n">
        <x:v>0.6259860446610326</x:v>
      </x:c>
      <x:c r="F92" t="n">
        <x:v>0.09377718454861039</x:v>
      </x:c>
      <x:c r="G92" t="n">
        <x:v>0.014587562040894949</x:v>
      </x:c>
      <x:c r="H92" t="n">
        <x:v>1215.9397586506911</x:v>
      </x:c>
      <x:c r="I92" s="30" t="b">
        <x:v>0</x:v>
      </x:c>
      <x:c r="J92" t="n">
        <x:v>1.054266985375127</x:v>
      </x:c>
      <x:c r="K92" t="n">
        <x:v>0.8292213199640251</x:v>
      </x:c>
      <x:c r="L92" t="n">
        <x:v>1375.2632812185975</x:v>
      </x:c>
      <x:c r="M92" t="n">
        <x:v>333.26159742725685</x:v>
      </x:c>
      <x:c r="N92" t="n">
        <x:v>0.6463497204258921</x:v>
      </x:c>
      <x:c r="O92" t="n">
        <x:v>0.8117058766589493</x:v>
      </x:c>
      <x:c r="P92" t="n">
        <x:v>0.0005730295308668822</x:v>
      </x:c>
      <x:c r="Q92" t="n">
        <x:v>8.140315889556764</x:v>
      </x:c>
      <x:c r="R92" t="n">
        <x:v>2314.108802271107</x:v>
      </x:c>
      <x:c r="S92" t="n">
        <x:v>674.5051554239972</x:v>
      </x:c>
      <x:c r="T92" t="n">
        <x:v>22.89416377138527</x:v>
      </x:c>
      <x:c r="U92" t="n">
        <x:v>3.29167190327194</x:v>
      </x:c>
      <x:c r="V92" t="n">
        <x:v>226.33719783944153</x:v>
      </x:c>
      <x:c r="W92" t="n">
        <x:v>-48.33552107818139</x:v>
      </x:c>
      <x:c r="X92" t="n">
        <x:v>14.43441032607354</x:v>
      </x:c>
      <x:c r="Y92" t="n">
        <x:v>3.29167190327194</x:v>
      </x:c>
      <x:c r="Z92" t="n">
        <x:v>0</x:v>
      </x:c>
      <x:c r="AA92" t="n">
        <x:v>11.1427384228016</x:v>
      </x:c>
      <x:c r="AB92" t="n">
        <x:v>0</x:v>
      </x:c>
      <x:c r="AC92" t="n">
        <x:v>0</x:v>
      </x:c>
    </x:row>
    <x:row r="93">
      <x:c r="A93" t="n">
        <x:v>2117</x:v>
      </x:c>
      <x:c r="B93" t="n">
        <x:v>312.7070911600201</x:v>
      </x:c>
      <x:c r="C93" t="n">
        <x:v>1.5</x:v>
      </x:c>
      <x:c r="D93" t="n">
        <x:v>15.2</x:v>
      </x:c>
      <x:c r="E93" t="n">
        <x:v>0.630047281600375</x:v>
      </x:c>
      <x:c r="F93" t="n">
        <x:v>0.09192027188099065</x:v>
      </x:c>
      <x:c r="G93" t="n">
        <x:v>0.014298708959265211</x:v>
      </x:c>
      <x:c r="H93" t="n">
        <x:v>1230.5097113690908</x:v>
      </x:c>
      <x:c r="I93" s="30" t="b">
        <x:v>0</x:v>
      </x:c>
      <x:c r="J93" t="n">
        <x:v>1.0451227589562357</x:v>
      </x:c>
      <x:c r="K93" t="n">
        <x:v>0.8307357976775007</x:v>
      </x:c>
      <x:c r="L93" t="n">
        <x:v>1374.9008670338742</x:v>
      </x:c>
      <x:c r="M93" t="n">
        <x:v>333.2159226487893</x:v>
      </x:c>
      <x:c r="N93" t="n">
        <x:v>0.6296873637557279</x:v>
      </x:c>
      <x:c r="O93" t="n">
        <x:v>0.8071245143155443</x:v>
      </x:c>
      <x:c r="P93" t="n">
        <x:v>0.0005618583643451439</x:v>
      </x:c>
      <x:c r="Q93" t="n">
        <x:v>8.141185468023899</x:v>
      </x:c>
      <x:c r="R93" t="n">
        <x:v>2314.120755107719</x:v>
      </x:c>
      <x:c r="S93" t="n">
        <x:v>684.2975627090168</x:v>
      </x:c>
      <x:c r="T93" t="n">
        <x:v>23.45592049311326</x:v>
      </x:c>
      <x:c r="U93" t="n">
        <x:v>3.29025225729532</x:v>
      </x:c>
      <x:c r="V93" t="n">
        <x:v>246.50286607525948</x:v>
      </x:c>
      <x:c r="W93" t="n">
        <x:v>-45.00894861949203</x:v>
      </x:c>
      <x:c r="X93" t="n">
        <x:v>14.643967841972959</x:v>
      </x:c>
      <x:c r="Y93" t="n">
        <x:v>3.29025225729532</x:v>
      </x:c>
      <x:c r="Z93" t="n">
        <x:v>0</x:v>
      </x:c>
      <x:c r="AA93" t="n">
        <x:v>11.353715584677639</x:v>
      </x:c>
      <x:c r="AB93" t="n">
        <x:v>0</x:v>
      </x:c>
      <x:c r="AC93" t="n">
        <x:v>0</x:v>
      </x:c>
    </x:row>
    <x:row r="94">
      <x:c r="A94" t="n">
        <x:v>2118</x:v>
      </x:c>
      <x:c r="B94" t="n">
        <x:v>311.7385148620385</x:v>
      </x:c>
      <x:c r="C94" t="n">
        <x:v>1.5</x:v>
      </x:c>
      <x:c r="D94" t="n">
        <x:v>15.2</x:v>
      </x:c>
      <x:c r="E94" t="n">
        <x:v>0.6340401831370307</x:v>
      </x:c>
      <x:c r="F94" t="n">
        <x:v>0.09010012854774328</x:v>
      </x:c>
      <x:c r="G94" t="n">
        <x:v>0.014015575551871176</x:v>
      </x:c>
      <x:c r="H94" t="n">
        <x:v>1245.0756711859538</x:v>
      </x:c>
      <x:c r="I94" s="30" t="b">
        <x:v>0</x:v>
      </x:c>
      <x:c r="J94" t="n">
        <x:v>1.035985426298614</x:v>
      </x:c>
      <x:c r="K94" t="n">
        <x:v>0.8321771306388268</x:v>
      </x:c>
      <x:c r="L94" t="n">
        <x:v>1374.5691659156528</x:v>
      </x:c>
      <x:c r="M94" t="n">
        <x:v>333.17066690498655</x:v>
      </x:c>
      <x:c r="N94" t="n">
        <x:v>0.6130831614664207</x:v>
      </x:c>
      <x:c r="O94" t="n">
        <x:v>0.802559407196894</x:v>
      </x:c>
      <x:c r="P94" t="n">
        <x:v>0.0005508941609808851</x:v>
      </x:c>
      <x:c r="Q94" t="n">
        <x:v>8.142051626158358</x:v>
      </x:c>
      <x:c r="R94" t="n">
        <x:v>2314.1321249976113</x:v>
      </x:c>
      <x:c r="S94" t="n">
        <x:v>694.1911876110969</x:v>
      </x:c>
      <x:c r="T94" t="n">
        <x:v>24.026815830722313</x:v>
      </x:c>
      <x:c r="U94" t="n">
        <x:v>3.288851446994269</x:v>
      </x:c>
      <x:c r="V94" t="n">
        <x:v>267.24083045898755</x:v>
      </x:c>
      <x:c r="W94" t="n">
        <x:v>-41.655046977302874</x:v>
      </x:c>
      <x:c r="X94" t="n">
        <x:v>14.855691414877473</x:v>
      </x:c>
      <x:c r="Y94" t="n">
        <x:v>3.288851446994269</x:v>
      </x:c>
      <x:c r="Z94" t="n">
        <x:v>0</x:v>
      </x:c>
      <x:c r="AA94" t="n">
        <x:v>11.566839967883205</x:v>
      </x:c>
      <x:c r="AB94" t="n">
        <x:v>0</x:v>
      </x:c>
      <x:c r="AC94" t="n">
        <x:v>0</x:v>
      </x:c>
    </x:row>
    <x:row r="95">
      <x:c r="A95" t="n">
        <x:v>2119</x:v>
      </x:c>
      <x:c r="B95" t="n">
        <x:v>310.77620899097417</x:v>
      </x:c>
      <x:c r="C95" t="n">
        <x:v>1.5</x:v>
      </x:c>
      <x:c r="D95" t="n">
        <x:v>15.2</x:v>
      </x:c>
      <x:c r="E95" t="n">
        <x:v>0.6379648989874639</x:v>
      </x:c>
      <x:c r="F95" t="n">
        <x:v>0.08831602646726608</x:v>
      </x:c>
      <x:c r="G95" t="n">
        <x:v>0.013738048561574722</x:v>
      </x:c>
      <x:c r="H95" t="n">
        <x:v>1259.6377062869662</x:v>
      </x:c>
      <x:c r="I95" s="30" t="b">
        <x:v>0</x:v>
      </x:c>
      <x:c r="J95" t="n">
        <x:v>1.0268536034162126</x:v>
      </x:c>
      <x:c r="K95" t="n">
        <x:v>0.8335458636833403</x:v>
      </x:c>
      <x:c r="L95" t="n">
        <x:v>1374.2655750616875</x:v>
      </x:c>
      <x:c r="M95" t="n">
        <x:v>333.1258263514939</x:v>
      </x:c>
      <x:c r="N95" t="n">
        <x:v>0.596535283949583</x:v>
      </x:c>
      <x:c r="O95" t="n">
        <x:v>0.7980092845337032</x:v>
      </x:c>
      <x:c r="P95" t="n">
        <x:v>0.0005401339787161242</x:v>
      </x:c>
      <x:c r="Q95" t="n">
        <x:v>8.142914466140088</x:v>
      </x:c>
      <x:c r="R95" t="n">
        <x:v>2314.1429403714296</x:v>
      </x:c>
      <x:c r="S95" t="n">
        <x:v>704.1868657359564</x:v>
      </x:c>
      <x:c r="T95" t="n">
        <x:v>24.606927550888823</x:v>
      </x:c>
      <x:c r="U95" t="n">
        <x:v>3.2874689999914413</x:v>
      </x:c>
      <x:c r="V95" t="n">
        <x:v>288.5602890098849</x:v>
      </x:c>
      <x:c r="W95" t="n">
        <x:v>-38.27470843767985</x:v>
      </x:c>
      <x:c r="X95" t="n">
        <x:v>15.069598926749466</x:v>
      </x:c>
      <x:c r="Y95" t="n">
        <x:v>3.2874689999914413</x:v>
      </x:c>
      <x:c r="Z95" t="n">
        <x:v>0</x:v>
      </x:c>
      <x:c r="AA95" t="n">
        <x:v>11.782129926758024</x:v>
      </x:c>
      <x:c r="AB95" t="n">
        <x:v>0</x:v>
      </x:c>
      <x:c r="AC95" t="n">
        <x:v>0</x:v>
      </x:c>
    </x:row>
    <x:row r="96">
      <x:c r="A96" t="n">
        <x:v>2120</x:v>
      </x:c>
      <x:c r="B96" t="n">
        <x:v>309.82003022192146</x:v>
      </x:c>
      <x:c r="C96" t="n">
        <x:v>1.5</x:v>
      </x:c>
      <x:c r="D96" t="n">
        <x:v>15.2</x:v>
      </x:c>
      <x:c r="E96" t="n">
        <x:v>0.6418215752341884</x:v>
      </x:c>
      <x:c r="F96" t="n">
        <x:v>0.08656725197493849</x:v>
      </x:c>
      <x:c r="G96" t="n">
        <x:v>0.013466016973879318</x:v>
      </x:c>
      <x:c r="H96" t="n">
        <x:v>1274.195884711732</x:v>
      </x:c>
      <x:c r="I96" s="30" t="b">
        <x:v>0</x:v>
      </x:c>
      <x:c r="J96" t="n">
        <x:v>1.017725972020313</x:v>
      </x:c>
      <x:c r="K96" t="n">
        <x:v>0.8348425286239948</x:v>
      </x:c>
      <x:c r="L96" t="n">
        <x:v>1373.987712246194</x:v>
      </x:c>
      <x:c r="M96" t="n">
        <x:v>333.081397179226</x:v>
      </x:c>
      <x:c r="N96" t="n">
        <x:v>0.5800419388958675</x:v>
      </x:c>
      <x:c r="O96" t="n">
        <x:v>0.7934729817787458</x:v>
      </x:c>
      <x:c r="P96" t="n">
        <x:v>0.0005295748398532798</x:v>
      </x:c>
      <x:c r="Q96" t="n">
        <x:v>8.143774087879827</x:v>
      </x:c>
      <x:c r="R96" t="n">
        <x:v>2314.153228273243</x:v>
      </x:c>
      <x:c r="S96" t="n">
        <x:v>714.2854428746753</x:v>
      </x:c>
      <x:c r="T96" t="n">
        <x:v>25.196335167821097</x:v>
      </x:c>
      <x:c r="U96" t="n">
        <x:v>3.2861044612027563</x:v>
      </x:c>
      <x:c r="V96" t="n">
        <x:v>310.47051971650325</x:v>
      </x:c>
      <x:c r="W96" t="n">
        <x:v>-34.86881696742125</x:v>
      </x:c>
      <x:c r="X96" t="n">
        <x:v>15.28570847751805</x:v>
      </x:c>
      <x:c r="Y96" t="n">
        <x:v>3.2861044612027563</x:v>
      </x:c>
      <x:c r="Z96" t="n">
        <x:v>0</x:v>
      </x:c>
      <x:c r="AA96" t="n">
        <x:v>11.999604016315294</x:v>
      </x:c>
      <x:c r="AB96" t="n">
        <x:v>0</x:v>
      </x:c>
      <x:c r="AC96" t="n">
        <x:v>0</x:v>
      </x:c>
    </x:row>
    <x:row r="97">
      <x:c r="A97" t="n">
        <x:v>2121</x:v>
      </x:c>
      <x:c r="B97" t="n">
        <x:v>308.86985797916833</x:v>
      </x:c>
      <x:c r="C97" t="n">
        <x:v>1.5</x:v>
      </x:c>
      <x:c r="D97" t="n">
        <x:v>15.2</x:v>
      </x:c>
      <x:c r="E97" t="n">
        <x:v>0.6457638285802013</x:v>
      </x:c>
      <x:c r="F97" t="n">
        <x:v>0.0848531055376463</x:v>
      </x:c>
      <x:c r="G97" t="n">
        <x:v>0.013199371972522753</x:v>
      </x:c>
      <x:c r="H97" t="n">
        <x:v>1288.750120883152</x:v>
      </x:c>
      <x:c r="I97" s="30" t="b">
        <x:v>0</x:v>
      </x:c>
      <x:c r="J97" t="n">
        <x:v>1.0091110388683424</x:v>
      </x:c>
      <x:c r="K97" t="n">
        <x:v>0.8360693377478245</x:v>
      </x:c>
      <x:c r="L97" t="n">
        <x:v>1373.7333971269286</x:v>
      </x:c>
      <x:c r="M97" t="n">
        <x:v>333.03737561404307</x:v>
      </x:c>
      <x:c r="N97" t="n">
        <x:v>0.5636017006476082</x:v>
      </x:c>
      <x:c r="O97" t="n">
        <x:v>0.7932047508484783</x:v>
      </x:c>
      <x:c r="P97" t="n">
        <x:v>0.0005192137393958211</x:v>
      </x:c>
      <x:c r="Q97" t="n">
        <x:v>8.144630571902377</x:v>
      </x:c>
      <x:c r="R97" t="n">
        <x:v>2314.163014428164</x:v>
      </x:c>
      <x:c r="S97" t="n">
        <x:v>724.4877751137191</x:v>
      </x:c>
      <x:c r="T97" t="n">
        <x:v>25.807883514957005</x:v>
      </x:c>
      <x:c r="U97" t="n">
        <x:v>3.2847573920095767</x:v>
      </x:c>
      <x:c r="V97" t="n">
        <x:v>332.99364583945066</x:v>
      </x:c>
      <x:c r="W97" t="n">
        <x:v>-31.436302697642468</x:v>
      </x:c>
      <x:c r="X97" t="n">
        <x:v>15.504038387433587</x:v>
      </x:c>
      <x:c r="Y97" t="n">
        <x:v>3.2847573920095767</x:v>
      </x:c>
      <x:c r="Z97" t="n">
        <x:v>0</x:v>
      </x:c>
      <x:c r="AA97" t="n">
        <x:v>12.219280995424011</x:v>
      </x:c>
      <x:c r="AB97" t="n">
        <x:v>0</x:v>
      </x:c>
      <x:c r="AC97" t="n">
        <x:v>0</x:v>
      </x:c>
    </x:row>
    <x:row r="98">
      <x:c r="A98" t="n">
        <x:v>2122</x:v>
      </x:c>
      <x:c r="B98" t="n">
        <x:v>307.92556962127117</x:v>
      </x:c>
      <x:c r="C98" t="n">
        <x:v>1.5</x:v>
      </x:c>
      <x:c r="D98" t="n">
        <x:v>15.2</x:v>
      </x:c>
      <x:c r="E98" t="n">
        <x:v>0.6497555541245563</x:v>
      </x:c>
      <x:c r="F98" t="n">
        <x:v>0.08317290147395899</x:v>
      </x:c>
      <x:c r="G98" t="n">
        <x:v>0.012938006895949173</x:v>
      </x:c>
      <x:c r="H98" t="n">
        <x:v>1303.3003653290275</x:v>
      </x:c>
      <x:c r="I98" s="30" t="b">
        <x:v>0</x:v>
      </x:c>
      <x:c r="J98" t="n">
        <x:v>1.0008754660144823</x:v>
      </x:c>
      <x:c r="K98" t="n">
        <x:v>0.8372298472231633</x:v>
      </x:c>
      <x:c r="L98" t="n">
        <x:v>1373.5006341364144</x:v>
      </x:c>
      <x:c r="M98" t="n">
        <x:v>332.99375791643064</x:v>
      </x:c>
      <x:c r="N98" t="n">
        <x:v>0.5472130848797534</x:v>
      </x:c>
      <x:c r="O98" t="n">
        <x:v>0.7929482945097841</x:v>
      </x:c>
      <x:c r="P98" t="n">
        <x:v>0.0005090476525868755</x:v>
      </x:c>
      <x:c r="Q98" t="n">
        <x:v>8.145484001504094</x:v>
      </x:c>
      <x:c r="R98" t="n">
        <x:v>2314.1723233066773</x:v>
      </x:c>
      <x:c r="S98" t="n">
        <x:v>734.7947289451331</x:v>
      </x:c>
      <x:c r="T98" t="n">
        <x:v>26.438981590019694</x:v>
      </x:c>
      <x:c r="U98" t="n">
        <x:v>3.2834273694796243</x:v>
      </x:c>
      <x:c r="V98" t="n">
        <x:v>356.14920005999073</x:v>
      </x:c>
      <x:c r="W98" t="n">
        <x:v>-27.97660071057251</x:v>
      </x:c>
      <x:c r="X98" t="n">
        <x:v>15.724607199425847</x:v>
      </x:c>
      <x:c r="Y98" t="n">
        <x:v>3.2834273694796243</x:v>
      </x:c>
      <x:c r="Z98" t="n">
        <x:v>0</x:v>
      </x:c>
      <x:c r="AA98" t="n">
        <x:v>12.441179829946222</x:v>
      </x:c>
      <x:c r="AB98" t="n">
        <x:v>0</x:v>
      </x:c>
      <x:c r="AC98" t="n">
        <x:v>0</x:v>
      </x:c>
    </x:row>
    <x:row r="99">
      <x:c r="A99" t="n">
        <x:v>2123</x:v>
      </x:c>
      <x:c r="B99" t="n">
        <x:v>306.9873118199665</x:v>
      </x:c>
      <x:c r="C99" t="n">
        <x:v>1.5</x:v>
      </x:c>
      <x:c r="D99" t="n">
        <x:v>15.2</x:v>
      </x:c>
      <x:c r="E99" t="n">
        <x:v>0.6559437201490925</x:v>
      </x:c>
      <x:c r="F99" t="n">
        <x:v>0.08152596767984807</x:v>
      </x:c>
      <x:c r="G99" t="n">
        <x:v>0.01268181719464303</x:v>
      </x:c>
      <x:c r="H99" t="n">
        <x:v>1317.8444216088785</x:v>
      </x:c>
      <x:c r="I99" s="30" t="b">
        <x:v>0</x:v>
      </x:c>
      <x:c r="J99" t="n">
        <x:v>0.9929212180654275</x:v>
      </x:c>
      <x:c r="K99" t="n">
        <x:v>0.8383267907391229</x:v>
      </x:c>
      <x:c r="L99" t="n">
        <x:v>1373.2875968230626</x:v>
      </x:c>
      <x:c r="M99" t="n">
        <x:v>332.95054038118167</x:v>
      </x:c>
      <x:c r="N99" t="n">
        <x:v>0.5308792795794167</x:v>
      </x:c>
      <x:c r="O99" t="n">
        <x:v>0.7927027163406661</x:v>
      </x:c>
      <x:c r="P99" t="n">
        <x:v>0.0004990735417455977</x:v>
      </x:c>
      <x:c r="Q99" t="n">
        <x:v>8.14633421686696</x:v>
      </x:c>
      <x:c r="R99" t="n">
        <x:v>2314.1811781858287</x:v>
      </x:c>
      <x:c r="S99" t="n">
        <x:v>745.2071813769317</x:v>
      </x:c>
      <x:c r="T99" t="n">
        <x:v>27.087717998746232</x:v>
      </x:c>
      <x:c r="U99" t="n">
        <x:v>3.2821139856332406</x:v>
      </x:c>
      <x:c r="V99" t="n">
        <x:v>379.95480407310373</x:v>
      </x:c>
      <x:c r="W99" t="n">
        <x:v>-24.489515625781394</x:v>
      </x:c>
      <x:c r="X99" t="n">
        <x:v>15.947433681466336</x:v>
      </x:c>
      <x:c r="Y99" t="n">
        <x:v>3.2821139856332406</x:v>
      </x:c>
      <x:c r="Z99" t="n">
        <x:v>0</x:v>
      </x:c>
      <x:c r="AA99" t="n">
        <x:v>12.665319695833094</x:v>
      </x:c>
      <x:c r="AB99" t="n">
        <x:v>0</x:v>
      </x:c>
      <x:c r="AC99" t="n">
        <x:v>0</x:v>
      </x:c>
    </x:row>
    <x:row r="100">
      <x:c r="A100" t="n">
        <x:v>2124</x:v>
      </x:c>
      <x:c r="B100" t="n">
        <x:v>306.05497523037445</x:v>
      </x:c>
      <x:c r="C100" t="n">
        <x:v>1.5</x:v>
      </x:c>
      <x:c r="D100" t="n">
        <x:v>15.2</x:v>
      </x:c>
      <x:c r="E100" t="n">
        <x:v>0.6623744050478665</x:v>
      </x:c>
      <x:c r="F100" t="n">
        <x:v>0.07991164535983648</x:v>
      </x:c>
      <x:c r="G100" t="n">
        <x:v>0.012430700389307896</x:v>
      </x:c>
      <x:c r="H100" t="n">
        <x:v>1332.3820472038306</x:v>
      </x:c>
      <x:c r="I100" s="30" t="b">
        <x:v>0</x:v>
      </x:c>
      <x:c r="J100" t="n">
        <x:v>0.9851757780508459</x:v>
      </x:c>
      <x:c r="K100" t="n">
        <x:v>0.8393622949952048</x:v>
      </x:c>
      <x:c r="L100" t="n">
        <x:v>1373.0926135193167</x:v>
      </x:c>
      <x:c r="M100" t="n">
        <x:v>332.90771933708174</x:v>
      </x:c>
      <x:c r="N100" t="n">
        <x:v>0.514599029387099</x:v>
      </x:c>
      <x:c r="O100" t="n">
        <x:v>0.7924671947197484</x:v>
      </x:c>
      <x:c r="P100" t="n">
        <x:v>0.0004892883624333699</x:v>
      </x:c>
      <x:c r="Q100" t="n">
        <x:v>8.14718128911244</x:v>
      </x:c>
      <x:c r="R100" t="n">
        <x:v>2314.189601207428</x:v>
      </x:c>
      <x:c r="S100" t="n">
        <x:v>755.7260200437102</x:v>
      </x:c>
      <x:c r="T100" t="n">
        <x:v>27.752690641392597</x:v>
      </x:c>
      <x:c r="U100" t="n">
        <x:v>3.28081684675186</x:v>
      </x:c>
      <x:c r="V100" t="n">
        <x:v>404.42667786774444</x:v>
      </x:c>
      <x:c r="W100" t="n">
        <x:v>-20.975122088766756</x:v>
      </x:c>
      <x:c r="X100" t="n">
        <x:v>16.172536828935396</x:v>
      </x:c>
      <x:c r="Y100" t="n">
        <x:v>3.28081684675186</x:v>
      </x:c>
      <x:c r="Z100" t="n">
        <x:v>0</x:v>
      </x:c>
      <x:c r="AA100" t="n">
        <x:v>12.891719982183536</x:v>
      </x:c>
      <x:c r="AB100" t="n">
        <x:v>0</x:v>
      </x:c>
      <x:c r="AC100" t="n">
        <x:v>0</x:v>
      </x:c>
    </x:row>
    <x:row r="101">
      <x:c r="A101" t="n">
        <x:v>2125</x:v>
      </x:c>
      <x:c r="B101" t="n">
        <x:v>305.1284216975335</x:v>
      </x:c>
      <x:c r="C101" t="n">
        <x:v>1.5</x:v>
      </x:c>
      <x:c r="D101" t="n">
        <x:v>15.2</x:v>
      </x:c>
      <x:c r="E101" t="n">
        <x:v>0.6687804918547513</x:v>
      </x:c>
      <x:c r="F101" t="n">
        <x:v>0.07832928876347164</x:v>
      </x:c>
      <x:c r="G101" t="n">
        <x:v>0.012184556029873365</x:v>
      </x:c>
      <x:c r="H101" t="n">
        <x:v>1346.913266711976</x:v>
      </x:c>
      <x:c r="I101" s="30" t="b">
        <x:v>0</x:v>
      </x:c>
      <x:c r="J101" t="n">
        <x:v>0.9775853970578788</x:v>
      </x:c>
      <x:c r="K101" t="n">
        <x:v>0.840338036623015</x:v>
      </x:c>
      <x:c r="L101" t="n">
        <x:v>1372.914154224363</x:v>
      </x:c>
      <x:c r="M101" t="n">
        <x:v>332.86529114659743</x:v>
      </x:c>
      <x:c r="N101" t="n">
        <x:v>0.4983705530975286</x:v>
      </x:c>
      <x:c r="O101" t="n">
        <x:v>0.7922409765379261</x:v>
      </x:c>
      <x:c r="P101" t="n">
        <x:v>0.0004796890690306303</x:v>
      </x:c>
      <x:c r="Q101" t="n">
        <x:v>8.14802531643048</x:v>
      </x:c>
      <x:c r="R101" t="n">
        <x:v>2314.1976134334163</x:v>
      </x:c>
      <x:c r="S101" t="n">
        <x:v>766.3521433175073</x:v>
      </x:c>
      <x:c r="T101" t="n">
        <x:v>28.43287951697674</x:v>
      </x:c>
      <x:c r="U101" t="n">
        <x:v>3.2795355727258313</x:v>
      </x:c>
      <x:c r="V101" t="n">
        <x:v>429.5800218119954</x:v>
      </x:c>
      <x:c r="W101" t="n">
        <x:v>-17.433691575204953</x:v>
      </x:c>
      <x:c r="X101" t="n">
        <x:v>16.399935866994657</x:v>
      </x:c>
      <x:c r="Y101" t="n">
        <x:v>3.2795355727258313</x:v>
      </x:c>
      <x:c r="Z101" t="n">
        <x:v>0</x:v>
      </x:c>
      <x:c r="AA101" t="n">
        <x:v>13.120400294268826</x:v>
      </x:c>
      <x:c r="AB101" t="n">
        <x:v>0</x:v>
      </x:c>
      <x:c r="AC101" t="n">
        <x:v>0</x:v>
      </x:c>
    </x:row>
    <x:row r="102">
      <x:c r="A102" t="n">
        <x:v>2126</x:v>
      </x:c>
      <x:c r="B102" t="n">
        <x:v>304.20751910620214</x:v>
      </x:c>
      <x:c r="C102" t="n">
        <x:v>1.5</x:v>
      </x:c>
      <x:c r="D102" t="n">
        <x:v>15.2</x:v>
      </x:c>
      <x:c r="E102" t="n">
        <x:v>0.6751620981618122</x:v>
      </x:c>
      <x:c r="F102" t="n">
        <x:v>0.07677826492701663</x:v>
      </x:c>
      <x:c r="G102" t="n">
        <x:v>0.011943285655313697</x:v>
      </x:c>
      <x:c r="H102" t="n">
        <x:v>1361.438104613814</x:v>
      </x:c>
      <x:c r="I102" s="30" t="b">
        <x:v>0</x:v>
      </x:c>
      <x:c r="J102" t="n">
        <x:v>0.970110186474711</x:v>
      </x:c>
      <x:c r="K102" t="n">
        <x:v>0.8412553578117444</x:v>
      </x:c>
      <x:c r="L102" t="n">
        <x:v>1372.7508185984732</x:v>
      </x:c>
      <x:c r="M102" t="n">
        <x:v>332.8232522055671</x:v>
      </x:c>
      <x:c r="N102" t="n">
        <x:v>0.482192149150309</x:v>
      </x:c>
      <x:c r="O102" t="n">
        <x:v>0.7920233714359624</x:v>
      </x:c>
      <x:c r="P102" t="n">
        <x:v>0.00047027261974214116</x:v>
      </x:c>
      <x:c r="Q102" t="n">
        <x:v>8.148866392602232</x:v>
      </x:c>
      <x:c r="R102" t="n">
        <x:v>2314.205234898532</x:v>
      </x:c>
      <x:c r="S102" t="n">
        <x:v>777.0864604189419</x:v>
      </x:c>
      <x:c r="T102" t="n">
        <x:v>29.12755156336963</x:v>
      </x:c>
      <x:c r="U102" t="n">
        <x:v>3.2782697964389396</x:v>
      </x:c>
      <x:c r="V102" t="n">
        <x:v>455.42930357892607</x:v>
      </x:c>
      <x:c r="W102" t="n">
        <x:v>-13.865638512984932</x:v>
      </x:c>
      <x:c r="X102" t="n">
        <x:v>16.629650252965355</x:v>
      </x:c>
      <x:c r="Y102" t="n">
        <x:v>3.2782697964389396</x:v>
      </x:c>
      <x:c r="Z102" t="n">
        <x:v>0</x:v>
      </x:c>
      <x:c r="AA102" t="n">
        <x:v>13.351380456526416</x:v>
      </x:c>
      <x:c r="AB102" t="n">
        <x:v>0</x:v>
      </x:c>
      <x:c r="AC102" t="n">
        <x:v>0</x:v>
      </x:c>
    </x:row>
    <x:row r="103">
      <x:c r="A103" t="n">
        <x:v>2127</x:v>
      </x:c>
      <x:c r="B103" t="n">
        <x:v>303.292140716403</x:v>
      </x:c>
      <x:c r="C103" t="n">
        <x:v>1.5</x:v>
      </x:c>
      <x:c r="D103" t="n">
        <x:v>15.2</x:v>
      </x:c>
      <x:c r="E103" t="n">
        <x:v>0.6815193409783916</x:v>
      </x:c>
      <x:c r="F103" t="n">
        <x:v>0.07525795342025628</x:v>
      </x:c>
      <x:c r="G103" t="n">
        <x:v>0.011706792754262087</x:v>
      </x:c>
      <x:c r="H103" t="n">
        <x:v>1375.9565852728356</x:v>
      </x:c>
      <x:c r="I103" s="30" t="b">
        <x:v>0</x:v>
      </x:c>
      <x:c r="J103" t="n">
        <x:v>0.9627204959709422</x:v>
      </x:c>
      <x:c r="K103" t="n">
        <x:v>0.8421153517202307</x:v>
      </x:c>
      <x:c r="L103" t="n">
        <x:v>1372.6013249747773</x:v>
      </x:c>
      <x:c r="M103" t="n">
        <x:v>332.78159894289485</x:v>
      </x:c>
      <x:c r="N103" t="n">
        <x:v>0.46606218547922296</x:v>
      </x:c>
      <x:c r="O103" t="n">
        <x:v>0.7918137465245878</x:v>
      </x:c>
      <x:c r="P103" t="n">
        <x:v>0.0004610359811174383</x:v>
      </x:c>
      <x:c r="Q103" t="n">
        <x:v>8.149704607541745</x:v>
      </x:c>
      <x:c r="R103" t="n">
        <x:v>2314.212484660408</x:v>
      </x:c>
      <x:c r="S103" t="n">
        <x:v>787.929891528655</x:v>
      </x:c>
      <x:c r="T103" t="n">
        <x:v>29.83618937430142</x:v>
      </x:c>
      <x:c r="U103" t="n">
        <x:v>3.2770191631871786</x:v>
      </x:c>
      <x:c r="V103" t="n">
        <x:v>481.9884737900403</x:v>
      </x:c>
      <x:c r="W103" t="n">
        <x:v>-10.271480600680942</x:v>
      </x:c>
      <x:c r="X103" t="n">
        <x:v>16.86169967871322</x:v>
      </x:c>
      <x:c r="Y103" t="n">
        <x:v>3.2770191631871786</x:v>
      </x:c>
      <x:c r="Z103" t="n">
        <x:v>0</x:v>
      </x:c>
      <x:c r="AA103" t="n">
        <x:v>13.58468051552604</x:v>
      </x:c>
      <x:c r="AB103" t="n">
        <x:v>0</x:v>
      </x:c>
      <x:c r="AC103" t="n">
        <x:v>0</x:v>
      </x:c>
    </x:row>
    <x:row r="104">
      <x:c r="A104" t="n">
        <x:v>2128</x:v>
      </x:c>
      <x:c r="B104" t="n">
        <x:v>302.382164620966</x:v>
      </x:c>
      <x:c r="C104" t="n">
        <x:v>1.5</x:v>
      </x:c>
      <x:c r="D104" t="n">
        <x:v>15.2</x:v>
      </x:c>
      <x:c r="E104" t="n">
        <x:v>0.6878523367340188</x:v>
      </x:c>
      <x:c r="F104" t="n">
        <x:v>0.0737677460983168</x:v>
      </x:c>
      <x:c r="G104" t="n">
        <x:v>0.011474982726404834</x:v>
      </x:c>
      <x:c r="H104" t="n">
        <x:v>1390.4687329361018</x:v>
      </x:c>
      <x:c r="I104" s="30" t="b">
        <x:v>0</x:v>
      </x:c>
      <x:c r="J104" t="n">
        <x:v>0.9553942401872199</x:v>
      </x:c>
      <x:c r="K104" t="n">
        <x:v>0.842918925589766</x:v>
      </x:c>
      <x:c r="L104" t="n">
        <x:v>1372.4645003022422</x:v>
      </x:c>
      <x:c r="M104" t="n">
        <x:v>332.7403278202471</x:v>
      </x:c>
      <x:c r="N104" t="n">
        <x:v>0.4499790913060562</x:v>
      </x:c>
      <x:c r="O104" t="n">
        <x:v>0.7916115215471313</x:v>
      </x:c>
      <x:c r="P104" t="n">
        <x:v>0.000451976132098335</x:v>
      </x:c>
      <x:c r="Q104" t="n">
        <x:v>8.150540047735278</x:v>
      </x:c>
      <x:c r="R104" t="n">
        <x:v>2314.219380847225</x:v>
      </x:c>
      <x:c r="S104" t="n">
        <x:v>798.883367899081</x:v>
      </x:c>
      <x:c r="T104" t="n">
        <x:v>30.55843775353467</x:v>
      </x:c>
      <x:c r="U104" t="n">
        <x:v>3.275783330129525</x:v>
      </x:c>
      <x:c r="V104" t="n">
        <x:v>509.2711282134454</x:v>
      </x:c>
      <x:c r="W104" t="n">
        <x:v>-6.651809567334819</x:v>
      </x:c>
      <x:c r="X104" t="n">
        <x:v>17.096104073040333</x:v>
      </x:c>
      <x:c r="Y104" t="n">
        <x:v>3.275783330129525</x:v>
      </x:c>
      <x:c r="Z104" t="n">
        <x:v>0</x:v>
      </x:c>
      <x:c r="AA104" t="n">
        <x:v>13.820320742910809</x:v>
      </x:c>
      <x:c r="AB104" t="n">
        <x:v>0</x:v>
      </x:c>
      <x:c r="AC104" t="n">
        <x:v>0</x:v>
      </x:c>
    </x:row>
    <x:row r="105">
      <x:c r="A105" t="n">
        <x:v>2129</x:v>
      </x:c>
      <x:c r="B105" t="n">
        <x:v>301.47747330020144</x:v>
      </x:c>
      <x:c r="C105" t="n">
        <x:v>1.5</x:v>
      </x:c>
      <x:c r="D105" t="n">
        <x:v>15.2</x:v>
      </x:c>
      <x:c r="E105" t="n">
        <x:v>0.6941612012813025</x:v>
      </x:c>
      <x:c r="F105" t="n">
        <x:v>0.07230704685839968</x:v>
      </x:c>
      <x:c r="G105" t="n">
        <x:v>0.01124776284463995</x:v>
      </x:c>
      <x:c r="H105" t="n">
        <x:v>1404.9745717348205</x:v>
      </x:c>
      <x:c r="I105" s="30" t="b">
        <x:v>0</x:v>
      </x:c>
      <x:c r="J105" t="n">
        <x:v>0.9481149254734553</x:v>
      </x:c>
      <x:c r="K105" t="n">
        <x:v>0.8436668473974009</x:v>
      </x:c>
      <x:c r="L105" t="n">
        <x:v>1372.3392709409388</x:v>
      </x:c>
      <x:c r="M105" t="n">
        <x:v>332.6994353317521</x:v>
      </x:c>
      <x:c r="N105" t="n">
        <x:v>0.43394135048335575</x:v>
      </x:c>
      <x:c r="O105" t="n">
        <x:v>0.7914161644479716</x:v>
      </x:c>
      <x:c r="P105" t="n">
        <x:v>0.0004430900676445731</x:v>
      </x:c>
      <x:c r="Q105" t="n">
        <x:v>8.151372796598944</x:v>
      </x:c>
      <x:c r="R105" t="n">
        <x:v>2314.225940703042</x:v>
      </x:c>
      <x:c r="S105" t="n">
        <x:v>809.9478319665757</x:v>
      </x:c>
      <x:c r="T105" t="n">
        <x:v>31.294063616849513</x:v>
      </x:c>
      <x:c r="U105" t="n">
        <x:v>3.2745619657686205</x:v>
      </x:c>
      <x:c r="V105" t="n">
        <x:v>537.2906298645263</x:v>
      </x:c>
      <x:c r="W105" t="n">
        <x:v>-3.0072696163536525</x:v>
      </x:c>
      <x:c r="X105" t="n">
        <x:v>17.332883604084717</x:v>
      </x:c>
      <x:c r="Y105" t="n">
        <x:v>3.2745619657686205</x:v>
      </x:c>
      <x:c r="Z105" t="n">
        <x:v>0</x:v>
      </x:c>
      <x:c r="AA105" t="n">
        <x:v>14.058321638316096</x:v>
      </x:c>
      <x:c r="AB105" t="n">
        <x:v>0</x:v>
      </x:c>
      <x:c r="AC105" t="n">
        <x:v>0</x:v>
      </x:c>
    </x:row>
    <x:row r="106">
      <x:c r="A106" t="n">
        <x:v>2130</x:v>
      </x:c>
      <x:c r="B106" t="n">
        <x:v>300.5779532539783</x:v>
      </x:c>
      <x:c r="C106" t="n">
        <x:v>1.5</x:v>
      </x:c>
      <x:c r="D106" t="n">
        <x:v>15.2</x:v>
      </x:c>
      <x:c r="E106" t="n">
        <x:v>0.7004460498988113</x:v>
      </x:c>
      <x:c r="F106" t="n">
        <x:v>0.07087527140133276</x:v>
      </x:c>
      <x:c r="G106" t="n">
        <x:v>0.011025042217985094</x:v>
      </x:c>
      <x:c r="H106" t="n">
        <x:v>1419.4741256849218</x:v>
      </x:c>
      <x:c r="I106" s="30" t="b">
        <x:v>0</x:v>
      </x:c>
      <x:c r="J106" t="n">
        <x:v>0.9408701932090276</x:v>
      </x:c>
      <x:c r="K106" t="n">
        <x:v>0.844359780358972</x:v>
      </x:c>
      <x:c r="L106" t="n">
        <x:v>1372.224654237373</x:v>
      </x:c>
      <x:c r="M106" t="n">
        <x:v>332.658918003702</x:v>
      </x:c>
      <x:c r="N106" t="n">
        <x:v>0.4179474960714141</x:v>
      </x:c>
      <x:c r="O106" t="n">
        <x:v>0.7912271873130718</x:v>
      </x:c>
      <x:c r="P106" t="n">
        <x:v>0.00043437480197207557</x:v>
      </x:c>
      <x:c r="Q106" t="n">
        <x:v>8.152202934771294</x:v>
      </x:c>
      <x:c r="R106" t="n">
        <x:v>2314.232180630916</x:v>
      </x:c>
      <x:c r="S106" t="n">
        <x:v>821.1242374639279</x:v>
      </x:c>
      <x:c r="T106" t="n">
        <x:v>32.04292589470279</x:v>
      </x:c>
      <x:c r="U106" t="n">
        <x:v>3.273354749459444</x:v>
      </x:c>
      <x:c r="V106" t="n">
        <x:v>566.0602010097697</x:v>
      </x:c>
      <x:c r="W106" t="n">
        <x:v>0.6614584729748998</x:v>
      </x:c>
      <x:c r="X106" t="n">
        <x:v>17.572058681728056</x:v>
      </x:c>
      <x:c r="Y106" t="n">
        <x:v>3.273354749459444</x:v>
      </x:c>
      <x:c r="Z106" t="n">
        <x:v>0</x:v>
      </x:c>
      <x:c r="AA106" t="n">
        <x:v>14.298703932268612</x:v>
      </x:c>
      <x:c r="AB106" t="n">
        <x:v>0</x:v>
      </x:c>
      <x:c r="AC106" t="n">
        <x:v>0</x:v>
      </x:c>
    </x:row>
    <x:row r="107">
      <x:c r="A107" t="n">
        <x:v>2131</x:v>
      </x:c>
      <x:c r="B107" t="n">
        <x:v>299.6834946955626</x:v>
      </x:c>
      <x:c r="C107" t="n">
        <x:v>1.5</x:v>
      </x:c>
      <x:c r="D107" t="n">
        <x:v>15.2</x:v>
      </x:c>
      <x:c r="E107" t="n">
        <x:v>0.7067069972939377</x:v>
      </x:c>
      <x:c r="F107" t="n">
        <x:v>0.06947184699784259</x:v>
      </x:c>
      <x:c r="G107" t="n">
        <x:v>0.010806731755219956</x:v>
      </x:c>
      <x:c r="H107" t="n">
        <x:v>1433.9674186876277</x:v>
      </x:c>
      <x:c r="I107" s="30" t="b">
        <x:v>0</x:v>
      </x:c>
      <x:c r="J107" t="n">
        <x:v>0.9336507443369703</x:v>
      </x:c>
      <x:c r="K107" t="n">
        <x:v>0.8449983084618138</x:v>
      </x:c>
      <x:c r="L107" t="n">
        <x:v>1372.1197508137705</x:v>
      </x:c>
      <x:c r="M107" t="n">
        <x:v>332.61877239425786</x:v>
      </x:c>
      <x:c r="N107" t="n">
        <x:v>0.40199610589916474</x:v>
      </x:c>
      <x:c r="O107" t="n">
        <x:v>0.7910441426516135</x:v>
      </x:c>
      <x:c r="P107" t="n">
        <x:v>0.0004258273714513303</x:v>
      </x:c>
      <x:c r="Q107" t="n">
        <x:v>8.15303054035396</x:v>
      </x:c>
      <x:c r="R107" t="n">
        <x:v>2314.238116233916</x:v>
      </x:c>
      <x:c r="S107" t="n">
        <x:v>832.4135495332819</x:v>
      </x:c>
      <x:c r="T107" t="n">
        <x:v>32.804952934413166</x:v>
      </x:c>
      <x:c r="U107" t="n">
        <x:v>3.2721613709441884</x:v>
      </x:c>
      <x:c r="V107" t="n">
        <x:v>595.5929925732387</x:v>
      </x:c>
      <x:c r="W107" t="n">
        <x:v>4.35366907687553</x:v>
      </x:c>
      <x:c r="X107" t="n">
        <x:v>17.81364996001223</x:v>
      </x:c>
      <x:c r="Y107" t="n">
        <x:v>3.2721613709441884</x:v>
      </x:c>
      <x:c r="Z107" t="n">
        <x:v>0</x:v>
      </x:c>
      <x:c r="AA107" t="n">
        <x:v>14.541488589068043</x:v>
      </x:c>
      <x:c r="AB107" t="n">
        <x:v>0</x:v>
      </x:c>
      <x:c r="AC107" t="n">
        <x:v>0</x:v>
      </x:c>
    </x:row>
    <x:row r="108">
      <x:c r="A108" t="n">
        <x:v>2132</x:v>
      </x:c>
      <x:c r="B108" t="n">
        <x:v>298.79399129480123</x:v>
      </x:c>
      <x:c r="C108" t="n">
        <x:v>1.5</x:v>
      </x:c>
      <x:c r="D108" t="n">
        <x:v>15.2</x:v>
      </x:c>
      <x:c r="E108" t="n">
        <x:v>0.7129441576057496</x:v>
      </x:c>
      <x:c r="F108" t="n">
        <x:v>0.0680962122594552</x:v>
      </x:c>
      <x:c r="G108" t="n">
        <x:v>0.010592744129248583</x:v>
      </x:c>
      <x:c r="H108" t="n">
        <x:v>1448.454474530022</x:v>
      </x:c>
      <x:c r="I108" s="30" t="b">
        <x:v>0</x:v>
      </x:c>
      <x:c r="J108" t="n">
        <x:v>0.9264495452305976</x:v>
      </x:c>
      <x:c r="K108" t="n">
        <x:v>0.8455829553738972</x:v>
      </x:c>
      <x:c r="L108" t="n">
        <x:v>1372.0237375108122</x:v>
      </x:c>
      <x:c r="M108" t="n">
        <x:v>332.57899509315723</x:v>
      </x:c>
      <x:c r="N108" t="n">
        <x:v>0.3860857989098749</x:v>
      </x:c>
      <x:c r="O108" t="n">
        <x:v>0.7908666199902887</x:v>
      </x:c>
      <x:c r="P108" t="n">
        <x:v>0.0004174448371563919</x:v>
      </x:c>
      <x:c r="Q108" t="n">
        <x:v>8.153855689110829</x:v>
      </x:c>
      <x:c r="R108" t="n">
        <x:v>2314.2437623541423</x:v>
      </x:c>
      <x:c r="S108" t="n">
        <x:v>843.8167448394962</x:v>
      </x:c>
      <x:c r="T108" t="n">
        <x:v>33.58012552981371</x:v>
      </x:c>
      <x:c r="U108" t="n">
        <x:v>3.2709815299116682</x:v>
      </x:c>
      <x:c r="V108" t="n">
        <x:v>625.9021365731408</x:v>
      </x:c>
      <x:c r="W108" t="n">
        <x:v>8.068640388264555</x:v>
      </x:c>
      <x:c r="X108" t="n">
        <x:v>18.057678339565218</x:v>
      </x:c>
      <x:c r="Y108" t="n">
        <x:v>3.2709815299116682</x:v>
      </x:c>
      <x:c r="Z108" t="n">
        <x:v>0</x:v>
      </x:c>
      <x:c r="AA108" t="n">
        <x:v>14.786696809653549</x:v>
      </x:c>
      <x:c r="AB108" t="n">
        <x:v>0</x:v>
      </x:c>
      <x:c r="AC108" t="n">
        <x:v>0</x:v>
      </x:c>
    </x:row>
    <x:row r="109">
      <x:c r="A109" t="n">
        <x:v>2133</x:v>
      </x:c>
      <x:c r="B109" t="n">
        <x:v>297.90933996080196</x:v>
      </x:c>
      <x:c r="C109" t="n">
        <x:v>1.5</x:v>
      </x:c>
      <x:c r="D109" t="n">
        <x:v>15.2</x:v>
      </x:c>
      <x:c r="E109" t="n">
        <x:v>0.7191576444078263</x:v>
      </x:c>
      <x:c r="F109" t="n">
        <x:v>0.0667478169139332</x:v>
      </x:c>
      <x:c r="G109" t="n">
        <x:v>0.010382993742167383</x:v>
      </x:c>
      <x:c r="H109" t="n">
        <x:v>1462.9353168856144</x:v>
      </x:c>
      <x:c r="I109" s="30" t="b">
        <x:v>0</x:v>
      </x:c>
      <x:c r="J109" t="n">
        <x:v>0.919261241192849</x:v>
      </x:c>
      <x:c r="K109" t="n">
        <x:v>0.8461141984613291</x:v>
      </x:c>
      <x:c r="L109" t="n">
        <x:v>1371.9358609284436</x:v>
      </x:c>
      <x:c r="M109" t="n">
        <x:v>332.5395827214245</x:v>
      </x:c>
      <x:c r="N109" t="n">
        <x:v>0.3702152321332228</x:v>
      </x:c>
      <x:c r="O109" t="n">
        <x:v>0.790694242754141</x:v>
      </x:c>
      <x:c r="P109" t="n">
        <x:v>0.0004092242871488711</x:v>
      </x:c>
      <x:c r="Q109" t="n">
        <x:v>8.154678454634082</x:v>
      </x:c>
      <x:c r="R109" t="n">
        <x:v>2314.2491331098354</x:v>
      </x:c>
      <x:c r="S109" t="n">
        <x:v>855.3348116839655</x:v>
      </x:c>
      <x:c r="T109" t="n">
        <x:v>34.368464175506375</x:v>
      </x:c>
      <x:c r="U109" t="n">
        <x:v>3.2698149355797574</x:v>
      </x:c>
      <x:c r="V109" t="n">
        <x:v>657.0007858130674</x:v>
      </x:c>
      <x:c r="W109" t="n">
        <x:v>11.80564081520783</x:v>
      </x:c>
      <x:c r="X109" t="n">
        <x:v>18.30416497003686</x:v>
      </x:c>
      <x:c r="Y109" t="n">
        <x:v>3.2698149355797574</x:v>
      </x:c>
      <x:c r="Z109" t="n">
        <x:v>0</x:v>
      </x:c>
      <x:c r="AA109" t="n">
        <x:v>15.034350034457104</x:v>
      </x:c>
      <x:c r="AB109" t="n">
        <x:v>0</x:v>
      </x:c>
      <x:c r="AC109" t="n">
        <x:v>0</x:v>
      </x:c>
    </x:row>
    <x:row r="110">
      <x:c r="A110" t="n">
        <x:v>2134</x:v>
      </x:c>
      <x:c r="B110" t="n">
        <x:v>297.0294406562913</x:v>
      </x:c>
      <x:c r="C110" t="n">
        <x:v>1.5</x:v>
      </x:c>
      <x:c r="D110" t="n">
        <x:v>15.2</x:v>
      </x:c>
      <x:c r="E110" t="n">
        <x:v>0.7253475707110809</x:v>
      </x:c>
      <x:c r="F110" t="n">
        <x:v>0.06542612158515951</x:v>
      </x:c>
      <x:c r="G110" t="n">
        <x:v>0.010177396691024812</x:v>
      </x:c>
      <x:c r="H110" t="n">
        <x:v>1477.4099693149033</x:v>
      </x:c>
      <x:c r="I110" s="30" t="b">
        <x:v>0</x:v>
      </x:c>
      <x:c r="J110" t="n">
        <x:v>0.912081723205813</x:v>
      </x:c>
      <x:c r="K110" t="n">
        <x:v>0.8465924791924969</x:v>
      </x:c>
      <x:c r="L110" t="n">
        <x:v>1371.8554315140723</x:v>
      </x:c>
      <x:c r="M110" t="n">
        <x:v>332.5005319310838</x:v>
      </x:c>
      <x:c r="N110" t="n">
        <x:v>0.354383098157793</x:v>
      </x:c>
      <x:c r="O110" t="n">
        <x:v>0.7905266654099903</x:v>
      </x:c>
      <x:c r="P110" t="n">
        <x:v>0.00040116283847076455</x:v>
      </x:c>
      <x:c r="Q110" t="n">
        <x:v>8.155498908483716</x:v>
      </x:c>
      <x:c r="R110" t="n">
        <x:v>2314.254241930683</x:v>
      </x:c>
      <x:c r="S110" t="n">
        <x:v>866.9687501189333</x:v>
      </x:c>
      <x:c r="T110" t="n">
        <x:v>35.17001949355316</x:v>
      </x:c>
      <x:c r="U110" t="n">
        <x:v>3.2686613062994017</x:v>
      </x:c>
      <x:c r="V110" t="n">
        <x:v>688.9021440003212</x:v>
      </x:c>
      <x:c r="W110" t="n">
        <x:v>15.563933711269414</x:v>
      </x:c>
      <x:c r="X110" t="n">
        <x:v>18.55313125254517</x:v>
      </x:c>
      <x:c r="Y110" t="n">
        <x:v>3.2686613062994017</x:v>
      </x:c>
      <x:c r="Z110" t="n">
        <x:v>0</x:v>
      </x:c>
      <x:c r="AA110" t="n">
        <x:v>15.28446994624577</x:v>
      </x:c>
      <x:c r="AB110" t="n">
        <x:v>0</x:v>
      </x:c>
      <x:c r="AC110" t="n">
        <x:v>0</x:v>
      </x:c>
    </x:row>
    <x:row r="111">
      <x:c r="A111" t="n">
        <x:v>2135</x:v>
      </x:c>
      <x:c r="B111" t="n">
        <x:v>296.15419623744236</x:v>
      </x:c>
      <x:c r="C111" t="n">
        <x:v>1.5</x:v>
      </x:c>
      <x:c r="D111" t="n">
        <x:v>15.2</x:v>
      </x:c>
      <x:c r="E111" t="n">
        <x:v>0.7315140489665682</x:v>
      </x:c>
      <x:c r="F111" t="n">
        <x:v>0.06413059757737981</x:v>
      </x:c>
      <x:c r="G111" t="n">
        <x:v>0.009975870734259082</x:v>
      </x:c>
      <x:c r="H111" t="n">
        <x:v>1491.8784552659367</x:v>
      </x:c>
      <x:c r="I111" s="30" t="b">
        <x:v>0</x:v>
      </x:c>
      <x:c r="J111" t="n">
        <x:v>0.9049078078005749</x:v>
      </x:c>
      <x:c r="K111" t="n">
        <x:v>0.8470182108723909</x:v>
      </x:c>
      <x:c r="L111" t="n">
        <x:v>1371.7818181517664</x:v>
      </x:c>
      <x:c r="M111" t="n">
        <x:v>332.4618394048747</x:v>
      </x:c>
      <x:c r="N111" t="n">
        <x:v>0.33858812300372915</x:v>
      </x:c>
      <x:c r="O111" t="n">
        <x:v>0.7903635708504735</x:v>
      </x:c>
      <x:c r="P111" t="n">
        <x:v>0.00039325763890197315</x:v>
      </x:c>
      <x:c r="Q111" t="n">
        <x:v>8.156317120305795</x:v>
      </x:c>
      <x:c r="R111" t="n">
        <x:v>2314.259101591397</x:v>
      </x:c>
      <x:c r="S111" t="n">
        <x:v>878.7195720623193</x:v>
      </x:c>
      <x:c r="T111" t="n">
        <x:v>35.98486504298954</x:v>
      </x:c>
      <x:c r="U111" t="n">
        <x:v>3.26752036917891</x:v>
      </x:c>
      <x:c r="V111" t="n">
        <x:v>721.6194886741318</x:v>
      </x:c>
      <x:c r="W111" t="n">
        <x:v>19.342780875689076</x:v>
      </x:c>
      <x:c r="X111" t="n">
        <x:v>18.804598842133633</x:v>
      </x:c>
      <x:c r="Y111" t="n">
        <x:v>3.26752036917891</x:v>
      </x:c>
      <x:c r="Z111" t="n">
        <x:v>0</x:v>
      </x:c>
      <x:c r="AA111" t="n">
        <x:v>15.537078472954722</x:v>
      </x:c>
      <x:c r="AB111" t="n">
        <x:v>0</x:v>
      </x:c>
      <x:c r="AC111" t="n">
        <x:v>0</x:v>
      </x:c>
    </x:row>
    <x:row r="112">
      <x:c r="A112" t="n">
        <x:v>2136</x:v>
      </x:c>
      <x:c r="B112" t="n">
        <x:v>295.2835123142436</x:v>
      </x:c>
      <x:c r="C112" t="n">
        <x:v>1.5</x:v>
      </x:c>
      <x:c r="D112" t="n">
        <x:v>15.2</x:v>
      </x:c>
      <x:c r="E112" t="n">
        <x:v>0.7376571910682791</x:v>
      </x:c>
      <x:c r="F112" t="n">
        <x:v>0.0628607266637171</x:v>
      </x:c>
      <x:c r="G112" t="n">
        <x:v>0.009778335258800437</x:v>
      </x:c>
      <x:c r="H112" t="n">
        <x:v>1506.3407980748686</x:v>
      </x:c>
      <x:c r="I112" s="30" t="b">
        <x:v>0</x:v>
      </x:c>
      <x:c r="J112" t="n">
        <x:v>0.8977370004337071</x:v>
      </x:c>
      <x:c r="K112" t="n">
        <x:v>0.8473917844036016</x:v>
      </x:c>
      <x:c r="L112" t="n">
        <x:v>1371.714443209995</x:v>
      </x:c>
      <x:c r="M112" t="n">
        <x:v>332.42350185597024</x:v>
      </x:c>
      <x:c r="N112" t="n">
        <x:v>0.32282906431584024</x:v>
      </x:c>
      <x:c r="O112" t="n">
        <x:v>0.7902046679985242</x:v>
      </x:c>
      <x:c r="P112" t="n">
        <x:v>0.00038550586849082696</x:v>
      </x:c>
      <x:c r="Q112" t="n">
        <x:v>8.157133157933638</x:v>
      </x:c>
      <x:c r="R112" t="n">
        <x:v>2314.2637242436617</x:v>
      </x:c>
      <x:c r="S112" t="n">
        <x:v>890.5883014130911</x:v>
      </x:c>
      <x:c r="T112" t="n">
        <x:v>36.81309191933217</x:v>
      </x:c>
      <x:c r="U112" t="n">
        <x:v>3.2663918597272716</x:v>
      </x:c>
      <x:c r="V112" t="n">
        <x:v>755.1661887337367</x:v>
      </x:c>
      <x:c r="W112" t="n">
        <x:v>23.141445145981603</x:v>
      </x:c>
      <x:c r="X112" t="n">
        <x:v>19.058589650240148</x:v>
      </x:c>
      <x:c r="Y112" t="n">
        <x:v>3.2663918597272716</x:v>
      </x:c>
      <x:c r="Z112" t="n">
        <x:v>0</x:v>
      </x:c>
      <x:c r="AA112" t="n">
        <x:v>15.792197790512876</x:v>
      </x:c>
      <x:c r="AB112" t="n">
        <x:v>0</x:v>
      </x:c>
      <x:c r="AC112" t="n">
        <x:v>0</x:v>
      </x:c>
    </x:row>
    <x:row r="113">
      <x:c r="A113" t="n">
        <x:v>2137</x:v>
      </x:c>
      <x:c r="B113" t="n">
        <x:v>294.4172971274898</x:v>
      </x:c>
      <x:c r="C113" t="n">
        <x:v>1.5</x:v>
      </x:c>
      <x:c r="D113" t="n">
        <x:v>15.2</x:v>
      </x:c>
      <x:c r="E113" t="n">
        <x:v>0.7437771083559209</x:v>
      </x:c>
      <x:c r="F113" t="n">
        <x:v>0.06161600087887409</x:v>
      </x:c>
      <x:c r="G113" t="n">
        <x:v>0.009584711247824854</x:v>
      </x:c>
      <x:c r="H113" t="n">
        <x:v>1520.7970209665127</x:v>
      </x:c>
      <x:c r="I113" s="30" t="b">
        <x:v>0</x:v>
      </x:c>
      <x:c r="J113" t="n">
        <x:v>0.8905673205161311</x:v>
      </x:c>
      <x:c r="K113" t="n">
        <x:v>0.8477135725881997</x:v>
      </x:c>
      <x:c r="L113" t="n">
        <x:v>1371.6527780090514</x:v>
      </x:c>
      <x:c r="M113" t="n">
        <x:v>332.385516027698</x:v>
      </x:c>
      <x:c r="N113" t="n">
        <x:v>0.307104709813685</x:v>
      </x:c>
      <x:c r="O113" t="n">
        <x:v>0.7900496896138138</x:v>
      </x:c>
      <x:c r="P113" t="n">
        <x:v>0.00037790474088375623</x:v>
      </x:c>
      <x:c r="Q113" t="n">
        <x:v>8.157947087475295</x:v>
      </x:c>
      <x:c r="R113" t="n">
        <x:v>2314.268121446515</x:v>
      </x:c>
      <x:c r="S113" t="n">
        <x:v>902.5759741672024</x:v>
      </x:c>
      <x:c r="T113" t="n">
        <x:v>37.65480469886544</x:v>
      </x:c>
      <x:c r="U113" t="n">
        <x:v>3.2652755215153837</x:v>
      </x:c>
      <x:c r="V113" t="n">
        <x:v>789.5557179110867</x:v>
      </x:c>
      <x:c r="W113" t="n">
        <x:v>26.959192320613095</x:v>
      </x:c>
      <x:c r="X113" t="n">
        <x:v>19.31512584717813</x:v>
      </x:c>
      <x:c r="Y113" t="n">
        <x:v>3.2652755215153837</x:v>
      </x:c>
      <x:c r="Z113" t="n">
        <x:v>0</x:v>
      </x:c>
      <x:c r="AA113" t="n">
        <x:v>16.049850325662746</x:v>
      </x:c>
      <x:c r="AB113" t="n">
        <x:v>0</x:v>
      </x:c>
      <x:c r="AC113" t="n">
        <x:v>0</x:v>
      </x:c>
    </x:row>
    <x:row r="114">
      <x:c r="A114" t="n">
        <x:v>2138</x:v>
      </x:c>
      <x:c r="B114" t="n">
        <x:v>293.55546143928206</x:v>
      </x:c>
      <x:c r="C114" t="n">
        <x:v>1.5</x:v>
      </x:c>
      <x:c r="D114" t="n">
        <x:v>15.2</x:v>
      </x:c>
      <x:c r="E114" t="n">
        <x:v>0.7498739116176827</x:v>
      </x:c>
      <x:c r="F114" t="n">
        <x:v>0.060395922315940244</x:v>
      </x:c>
      <x:c r="G114" t="n">
        <x:v>0.009394921249146254</x:v>
      </x:c>
      <x:c r="H114" t="n">
        <x:v>1535.247147054895</x:v>
      </x:c>
      <x:c r="I114" s="30" t="b">
        <x:v>0</x:v>
      </x:c>
      <x:c r="J114" t="n">
        <x:v>0.8833971719655566</x:v>
      </x:c>
      <x:c r="K114" t="n">
        <x:v>0.8479839333501686</x:v>
      </x:c>
      <x:c r="L114" t="n">
        <x:v>1371.5963386725948</x:v>
      </x:c>
      <x:c r="M114" t="n">
        <x:v>332.34787869326306</x:v>
      </x:c>
      <x:c r="N114" t="n">
        <x:v>0.2914138759481992</x:v>
      </x:c>
      <x:c r="O114" t="n">
        <x:v>0.7898983902841916</x:v>
      </x:c>
      <x:c r="P114" t="n">
        <x:v>0.0003704515044636144</x:v>
      </x:c>
      <x:c r="Q114" t="n">
        <x:v>8.158758973389926</x:v>
      </x:c>
      <x:c r="R114" t="n">
        <x:v>2314.272304195255</x:v>
      </x:c>
      <x:c r="S114" t="n">
        <x:v>914.6836385341272</x:v>
      </x:c>
      <x:c r="T114" t="n">
        <x:v>38.51011839328677</x:v>
      </x:c>
      <x:c r="U114" t="n">
        <x:v>3.264171105854103</x:v>
      </x:c>
      <x:c r="V114" t="n">
        <x:v>824.8016651985193</x:v>
      </x:c>
      <x:c r="W114" t="n">
        <x:v>30.79529258685434</x:v>
      </x:c>
      <x:c r="X114" t="n">
        <x:v>19.574229864630322</x:v>
      </x:c>
      <x:c r="Y114" t="n">
        <x:v>3.264171105854103</x:v>
      </x:c>
      <x:c r="Z114" t="n">
        <x:v>0</x:v>
      </x:c>
      <x:c r="AA114" t="n">
        <x:v>16.31005875877622</x:v>
      </x:c>
      <x:c r="AB114" t="n">
        <x:v>0</x:v>
      </x:c>
      <x:c r="AC114" t="n">
        <x:v>0</x:v>
      </x:c>
    </x:row>
    <x:row r="115">
      <x:c r="A115" t="n">
        <x:v>2139</x:v>
      </x:c>
      <x:c r="B115" t="n">
        <x:v>292.6979184345583</x:v>
      </x:c>
      <x:c r="C115" t="n">
        <x:v>1.5</x:v>
      </x:c>
      <x:c r="D115" t="n">
        <x:v>15.2</x:v>
      </x:c>
      <x:c r="E115" t="n">
        <x:v>0.7559477110929892</x:v>
      </x:c>
      <x:c r="F115" t="n">
        <x:v>0.05920000292722248</x:v>
      </x:c>
      <x:c r="G115" t="n">
        <x:v>0.009208889344234604</x:v>
      </x:c>
      <x:c r="H115" t="n">
        <x:v>1549.691199343802</x:v>
      </x:c>
      <x:c r="I115" s="30" t="b">
        <x:v>0</x:v>
      </x:c>
      <x:c r="J115" t="n">
        <x:v>0.8762252473784988</x:v>
      </x:c>
      <x:c r="K115" t="n">
        <x:v>0.8482032121587663</x:v>
      </x:c>
      <x:c r="L115" t="n">
        <x:v>1371.5446823307532</x:v>
      </x:c>
      <x:c r="M115" t="n">
        <x:v>332.3105866554743</x:v>
      </x:c>
      <x:c r="N115" t="n">
        <x:v>0.27575540672466703</x:v>
      </x:c>
      <x:c r="O115" t="n">
        <x:v>0.7897505445865862</x:v>
      </x:c>
      <x:c r="P115" t="n">
        <x:v>0.00036314344332398474</x:v>
      </x:c>
      <x:c r="Q115" t="n">
        <x:v>8.159568878555252</x:v>
      </x:c>
      <x:c r="R115" t="n">
        <x:v>2314.276282948931</x:v>
      </x:c>
      <x:c r="S115" t="n">
        <x:v>926.9123550540143</x:v>
      </x:c>
      <x:c r="T115" t="n">
        <x:v>39.37915616348239</x:v>
      </x:c>
      <x:c r="U115" t="n">
        <x:v>3.2630783714881373</x:v>
      </x:c>
      <x:c r="V115" t="n">
        <x:v>860.9177429905136</x:v>
      </x:c>
      <x:c r="W115" t="n">
        <x:v>34.649021582835715</x:v>
      </x:c>
      <x:c r="X115" t="n">
        <x:v>19.835924398155903</x:v>
      </x:c>
      <x:c r="Y115" t="n">
        <x:v>3.2630783714881373</x:v>
      </x:c>
      <x:c r="Z115" t="n">
        <x:v>0</x:v>
      </x:c>
      <x:c r="AA115" t="n">
        <x:v>16.572846026667765</x:v>
      </x:c>
      <x:c r="AB115" t="n">
        <x:v>0</x:v>
      </x:c>
      <x:c r="AC115" t="n">
        <x:v>0</x:v>
      </x:c>
    </x:row>
    <x:row r="116">
      <x:c r="A116" t="n">
        <x:v>2140</x:v>
      </x:c>
      <x:c r="B116" t="n">
        <x:v>291.8445836316817</x:v>
      </x:c>
      <x:c r="C116" t="n">
        <x:v>1.5</x:v>
      </x:c>
      <x:c r="D116" t="n">
        <x:v>15.2</x:v>
      </x:c>
      <x:c r="E116" t="n">
        <x:v>0.7619986164752378</x:v>
      </x:c>
      <x:c r="F116" t="n">
        <x:v>0.058027764329019495</x:v>
      </x:c>
      <x:c r="G116" t="n">
        <x:v>0.009026541117847476</x:v>
      </x:c>
      <x:c r="H116" t="n">
        <x:v>1564.1292007273269</x:v>
      </x:c>
      <x:c r="I116" s="30" t="b">
        <x:v>0</x:v>
      </x:c>
      <x:c r="J116" t="n">
        <x:v>0.8690504570354278</x:v>
      </x:c>
      <x:c r="K116" t="n">
        <x:v>0.8483717438599018</x:v>
      </x:c>
      <x:c r="L116" t="n">
        <x:v>1371.4974036449996</x:v>
      </x:c>
      <x:c r="M116" t="n">
        <x:v>332.2736367464726</x:v>
      </x:c>
      <x:c r="N116" t="n">
        <x:v>0.26012817266008437</x:v>
      </x:c>
      <x:c r="O116" t="n">
        <x:v>0.7896059454031135</x:v>
      </x:c>
      <x:c r="P116" t="n">
        <x:v>0.0003559778780854097</x:v>
      </x:c>
      <x:c r="Q116" t="n">
        <x:v>8.160376864327691</x:v>
      </x:c>
      <x:c r="R116" t="n">
        <x:v>2314.280067656501</x:v>
      </x:c>
      <x:c r="S116" t="n">
        <x:v>939.2631967154872</x:v>
      </x:c>
      <x:c r="T116" t="n">
        <x:v>40.26204760368715</x:v>
      </x:c>
      <x:c r="U116" t="n">
        <x:v>3.2619970843048556</x:v>
      </x:c>
      <x:c r="V116" t="n">
        <x:v>897.9177935098959</x:v>
      </x:c>
      <x:c r="W116" t="n">
        <x:v>38.519661188888605</x:v>
      </x:c>
      <x:c r="X116" t="n">
        <x:v>20.100232409711424</x:v>
      </x:c>
      <x:c r="Y116" t="n">
        <x:v>3.2619970843048556</x:v>
      </x:c>
      <x:c r="Z116" t="n">
        <x:v>0</x:v>
      </x:c>
      <x:c r="AA116" t="n">
        <x:v>16.83823532540657</x:v>
      </x:c>
      <x:c r="AB116" t="n">
        <x:v>0</x:v>
      </x:c>
      <x:c r="AC116" t="n">
        <x:v>0</x:v>
      </x:c>
    </x:row>
    <x:row r="117">
      <x:c r="A117" t="n">
        <x:v>2141</x:v>
      </x:c>
      <x:c r="B117" t="n">
        <x:v>290.9953748005156</x:v>
      </x:c>
      <x:c r="C117" t="n">
        <x:v>1.5</x:v>
      </x:c>
      <x:c r="D117" t="n">
        <x:v>15.2</x:v>
      </x:c>
      <x:c r="E117" t="n">
        <x:v>0.7680267369145246</x:v>
      </x:c>
      <x:c r="F117" t="n">
        <x:v>0.05687873761026197</x:v>
      </x:c>
      <x:c r="G117" t="n">
        <x:v>0.00884780362826297</x:v>
      </x:c>
      <x:c r="H117" t="n">
        <x:v>1578.5611739904125</x:v>
      </x:c>
      <x:c r="I117" s="30" t="b">
        <x:v>0</x:v>
      </x:c>
      <x:c r="J117" t="n">
        <x:v>0.8618718762531913</x:v>
      </x:c>
      <x:c r="K117" t="n">
        <x:v>0.8484898540685258</x:v>
      </x:c>
      <x:c r="L117" t="n">
        <x:v>1371.4541316275304</x:v>
      </x:c>
      <x:c r="M117" t="n">
        <x:v>332.23702582746176</x:v>
      </x:c>
      <x:c r="N117" t="n">
        <x:v>0.24453106984946557</x:v>
      </x:c>
      <x:c r="O117" t="n">
        <x:v>0.7894644023793433</x:v>
      </x:c>
      <x:c r="P117" t="n">
        <x:v>0.0003489521665701797</x:v>
      </x:c>
      <x:c r="Q117" t="n">
        <x:v>8.161182990596581</x:v>
      </x:c>
      <x:c r="R117" t="n">
        <x:v>2314.283667781705</x:v>
      </x:c>
      <x:c r="S117" t="n">
        <x:v>951.7372490741182</x:v>
      </x:c>
      <x:c r="T117" t="n">
        <x:v>41.15892745422134</x:v>
      </x:c>
      <x:c r="U117" t="n">
        <x:v>3.260927017057163</x:v>
      </x:c>
      <x:c r="V117" t="n">
        <x:v>935.8157939470601</x:v>
      </x:c>
      <x:c r="W117" t="n">
        <x:v>42.40650011825747</x:v>
      </x:c>
      <x:c r="X117" t="n">
        <x:v>20.36717713018613</x:v>
      </x:c>
      <x:c r="Y117" t="n">
        <x:v>3.260927017057163</x:v>
      </x:c>
      <x:c r="Z117" t="n">
        <x:v>0</x:v>
      </x:c>
      <x:c r="AA117" t="n">
        <x:v>17.106250113128965</x:v>
      </x:c>
      <x:c r="AB117" t="n">
        <x:v>0</x:v>
      </x:c>
      <x:c r="AC117" t="n">
        <x:v>0</x:v>
      </x:c>
    </x:row>
    <x:row r="118">
      <x:c r="A118" t="n">
        <x:v>2142</x:v>
      </x:c>
      <x:c r="B118" t="n">
        <x:v>290.1502118867291</x:v>
      </x:c>
      <x:c r="C118" t="n">
        <x:v>1.5</x:v>
      </x:c>
      <x:c r="D118" t="n">
        <x:v>15.2</x:v>
      </x:c>
      <x:c r="E118" t="n">
        <x:v>0.7740321810203559</x:v>
      </x:c>
      <x:c r="F118" t="n">
        <x:v>0.05575246314494183</x:v>
      </x:c>
      <x:c r="G118" t="n">
        <x:v>0.00867260537810206</x:v>
      </x:c>
      <x:c r="H118" t="n">
        <x:v>1592.9871418093921</x:v>
      </x:c>
      <x:c r="I118" s="30" t="b">
        <x:v>0</x:v>
      </x:c>
      <x:c r="J118" t="n">
        <x:v>0.8546887062966252</x:v>
      </x:c>
      <x:c r="K118" t="n">
        <x:v>0.8485578602350881</x:v>
      </x:c>
      <x:c r="L118" t="n">
        <x:v>1371.4145267301856</x:v>
      </x:c>
      <x:c r="M118" t="n">
        <x:v>332.20075078844184</x:v>
      </x:c>
      <x:c r="N118" t="n">
        <x:v>0.22896301912081538</x:v>
      </x:c>
      <x:c r="O118" t="n">
        <x:v>0.7893257405127456</x:v>
      </x:c>
      <x:c r="P118" t="n">
        <x:v>0.00034206370436301315</x:v>
      </x:c>
      <x:c r="Q118" t="n">
        <x:v>8.161987315833551</x:v>
      </x:c>
      <x:c r="R118" t="n">
        <x:v>2314.28709232673</x:v>
      </x:c>
      <x:c r="S118" t="n">
        <x:v>964.3356103715979</x:v>
      </x:c>
      <x:c r="T118" t="n">
        <x:v>42.069934636260534</x:v>
      </x:c>
      <x:c r="U118" t="n">
        <x:v>3.25986794909962</x:v>
      </x:c>
      <x:c r="V118" t="n">
        <x:v>974.625860634221</x:v>
      </x:c>
      <x:c r="W118" t="n">
        <x:v>46.308834358850106</x:v>
      </x:c>
      <x:c r="X118" t="n">
        <x:v>20.636782061952193</x:v>
      </x:c>
      <x:c r="Y118" t="n">
        <x:v>3.25986794909962</x:v>
      </x:c>
      <x:c r="Z118" t="n">
        <x:v>0</x:v>
      </x:c>
      <x:c r="AA118" t="n">
        <x:v>17.376914112852575</x:v>
      </x:c>
      <x:c r="AB118" t="n">
        <x:v>0</x:v>
      </x:c>
      <x:c r="AC118" t="n">
        <x:v>0</x:v>
      </x:c>
    </x:row>
    <x:row r="119">
      <x:c r="A119" t="n">
        <x:v>2143</x:v>
      </x:c>
      <x:c r="B119" t="n">
        <x:v>289.30901694133235</x:v>
      </x:c>
      <x:c r="C119" t="n">
        <x:v>1.5</x:v>
      </x:c>
      <x:c r="D119" t="n">
        <x:v>15.2</x:v>
      </x:c>
      <x:c r="E119" t="n">
        <x:v>0.7800150568643451</x:v>
      </x:c>
      <x:c r="F119" t="n">
        <x:v>0.05464849040825575</x:v>
      </x:c>
      <x:c r="G119" t="n">
        <x:v>0.008500876285728669</x:v>
      </x:c>
      <x:c r="H119" t="n">
        <x:v>1607.4071267525278</x:v>
      </x:c>
      <x:c r="I119" s="30" t="b">
        <x:v>0</x:v>
      </x:c>
      <x:c r="J119" t="n">
        <x:v>0.8475002453142332</x:v>
      </x:c>
      <x:c r="K119" t="n">
        <x:v>0.8485760724696388</x:v>
      </x:c>
      <x:c r="L119" t="n">
        <x:v>1371.3782781800735</x:v>
      </x:c>
      <x:c r="M119" t="n">
        <x:v>332.16480854794503</x:v>
      </x:c>
      <x:c r="N119" t="n">
        <x:v>0.21342296526265428</x:v>
      </x:c>
      <x:c r="O119" t="n">
        <x:v>0.7891897988603567</x:v>
      </x:c>
      <x:c r="P119" t="n">
        <x:v>0.00033530992523148333</x:v>
      </x:c>
      <x:c r="Q119" t="n">
        <x:v>8.16278989713785</x:v>
      </x:c>
      <x:c r="R119" t="n">
        <x:v>2314.290349854724</x:v>
      </x:c>
      <x:c r="S119" t="n">
        <x:v>977.0593916556294</x:v>
      </x:c>
      <x:c r="T119" t="n">
        <x:v>42.99521152858907</x:v>
      </x:c>
      <x:c r="U119" t="n">
        <x:v>3.258819666137061</x:v>
      </x:c>
      <x:c r="V119" t="n">
        <x:v>1014.362252496673</x:v>
      </x:c>
      <x:c r="W119" t="n">
        <x:v>50.22596750412585</x:v>
      </x:c>
      <x:c r="X119" t="n">
        <x:v>20.909070981430467</x:v>
      </x:c>
      <x:c r="Y119" t="n">
        <x:v>3.258819666137061</x:v>
      </x:c>
      <x:c r="Z119" t="n">
        <x:v>0</x:v>
      </x:c>
      <x:c r="AA119" t="n">
        <x:v>17.650251315293406</x:v>
      </x:c>
      <x:c r="AB119" t="n">
        <x:v>0</x:v>
      </x:c>
      <x:c r="AC119" t="n">
        <x:v>0</x:v>
      </x:c>
    </x:row>
    <x:row r="120">
      <x:c r="A120" t="n">
        <x:v>2144</x:v>
      </x:c>
      <x:c r="B120" t="n">
        <x:v>288.47171405463786</x:v>
      </x:c>
      <x:c r="C120" t="n">
        <x:v>1.5</x:v>
      </x:c>
      <x:c r="D120" t="n">
        <x:v>15.2</x:v>
      </x:c>
      <x:c r="E120" t="n">
        <x:v>0.7859754719828976</x:v>
      </x:c>
      <x:c r="F120" t="n">
        <x:v>0.053566377796389224</x:v>
      </x:c>
      <x:c r="G120" t="n">
        <x:v>0.0083325476572161</x:v>
      </x:c>
      <x:c r="H120" t="n">
        <x:v>1621.821151280545</x:v>
      </x:c>
      <x:c r="I120" s="30" t="b">
        <x:v>0</x:v>
      </x:c>
      <x:c r="J120" t="n">
        <x:v>0.8403058666875713</x:v>
      </x:c>
      <x:c r="K120" t="n">
        <x:v>0.848544794185383</x:v>
      </x:c>
      <x:c r="L120" t="n">
        <x:v>1371.3451015409878</x:v>
      </x:c>
      <x:c r="M120" t="n">
        <x:v>332.12919605277386</x:v>
      </x:c>
      <x:c r="N120" t="n">
        <x:v>0.19790987631118306</x:v>
      </x:c>
      <x:c r="O120" t="n">
        <x:v>0.7890564293556226</x:v>
      </x:c>
      <x:c r="P120" t="n">
        <x:v>0.00032868830146798604</x:v>
      </x:c>
      <x:c r="Q120" t="n">
        <x:v>8.163590790278384</x:v>
      </x:c>
      <x:c r="R120" t="n">
        <x:v>2314.2934485112028</x:v>
      </x:c>
      <x:c r="S120" t="n">
        <x:v>989.9097169005705</x:v>
      </x:c>
      <x:c r="T120" t="n">
        <x:v>43.93490342619567</x:v>
      </x:c>
      <x:c r="U120" t="n">
        <x:v>3.257781959985021</x:v>
      </x:c>
      <x:c r="V120" t="n">
        <x:v>1055.0393739628837</x:v>
      </x:c>
      <x:c r="W120" t="n">
        <x:v>54.157211001227566</x:v>
      </x:c>
      <x:c r="X120" t="n">
        <x:v>21.184067941672208</x:v>
      </x:c>
      <x:c r="Y120" t="n">
        <x:v>3.257781959985021</x:v>
      </x:c>
      <x:c r="Z120" t="n">
        <x:v>0</x:v>
      </x:c>
      <x:c r="AA120" t="n">
        <x:v>17.926285981687187</x:v>
      </x:c>
      <x:c r="AB120" t="n">
        <x:v>0</x:v>
      </x:c>
      <x:c r="AC120" t="n">
        <x:v>0</x:v>
      </x:c>
    </x:row>
    <x:row r="121">
      <x:c r="A121" t="n">
        <x:v>2145</x:v>
      </x:c>
      <x:c r="B121" t="n">
        <x:v>287.6382292940054</x:v>
      </x:c>
      <x:c r="C121" t="n">
        <x:v>1.5</x:v>
      </x:c>
      <x:c r="D121" t="n">
        <x:v>15.2</x:v>
      </x:c>
      <x:c r="E121" t="n">
        <x:v>0.7919135333798821</x:v>
      </x:c>
      <x:c r="F121" t="n">
        <x:v>0.05250569244986915</x:v>
      </x:c>
      <x:c r="G121" t="n">
        <x:v>0.008167552158868533</x:v>
      </x:c>
      <x:c r="H121" t="n">
        <x:v>1636.2292377471651</x:v>
      </x:c>
      <x:c r="I121" s="30" t="b">
        <x:v>0</x:v>
      </x:c>
      <x:c r="J121" t="n">
        <x:v>0.8331050028665288</x:v>
      </x:c>
      <x:c r="K121" t="n">
        <x:v>0.8484643226074081</x:v>
      </x:c>
      <x:c r="L121" t="n">
        <x:v>1371.3147364814856</x:v>
      </x:c>
      <x:c r="M121" t="n">
        <x:v>332.0939102777419</x:v>
      </x:c>
      <x:c r="N121" t="n">
        <x:v>0.1824227428868918</x:v>
      </x:c>
      <x:c r="O121" t="n">
        <x:v>0.7889254957252012</x:v>
      </x:c>
      <x:c r="P121" t="n">
        <x:v>0.00032219634412116273</x:v>
      </x:c>
      <x:c r="Q121" t="n">
        <x:v>8.164390049732923</x:v>
      </x:c>
      <x:c r="R121" t="n">
        <x:v>2314.296396044422</x:v>
      </x:c>
      <x:c r="S121" t="n">
        <x:v>1002.8877231288502</x:v>
      </x:c>
      <x:c r="T121" t="n">
        <x:v>44.889158135526564</x:v>
      </x:c>
      <x:c r="U121" t="n">
        <x:v>3.2567546283412963</x:v>
      </x:c>
      <x:c r="V121" t="n">
        <x:v>1096.671777470069</x:v>
      </x:c>
      <x:c r="W121" t="n">
        <x:v>58.101884337099406</x:v>
      </x:c>
      <x:c r="X121" t="n">
        <x:v>21.461797274957394</x:v>
      </x:c>
      <x:c r="Y121" t="n">
        <x:v>3.2567546283412963</x:v>
      </x:c>
      <x:c r="Z121" t="n">
        <x:v>0</x:v>
      </x:c>
      <x:c r="AA121" t="n">
        <x:v>18.2050426466161</x:v>
      </x:c>
      <x:c r="AB121" t="n">
        <x:v>0</x:v>
      </x:c>
      <x:c r="AC121" t="n">
        <x:v>0</x:v>
      </x:c>
    </x:row>
    <x:row r="122">
      <x:c r="A122" t="n">
        <x:v>2146</x:v>
      </x:c>
      <x:c r="B122" t="n">
        <x:v>286.80849064485193</x:v>
      </x:c>
      <x:c r="C122" t="n">
        <x:v>1.5</x:v>
      </x:c>
      <x:c r="D122" t="n">
        <x:v>15.2</x:v>
      </x:c>
      <x:c r="E122" t="n">
        <x:v>0.7978293475292871</x:v>
      </x:c>
      <x:c r="F122" t="n">
        <x:v>0.05146601008041426</x:v>
      </x:c>
      <x:c r="G122" t="n">
        <x:v>0.008005823790286658</x:v>
      </x:c>
      <x:c r="H122" t="n">
        <x:v>1650.631408399636</x:v>
      </x:c>
      <x:c r="I122" s="30" t="b">
        <x:v>0</x:v>
      </x:c>
      <x:c r="J122" t="n">
        <x:v>0.8258971332665076</x:v>
      </x:c>
      <x:c r="K122" t="n">
        <x:v>0.848334949180451</x:v>
      </x:c>
      <x:c r="L122" t="n">
        <x:v>1371.2869447321107</x:v>
      </x:c>
      <x:c r="M122" t="n">
        <x:v>332.05894822541666</x:v>
      </x:c>
      <x:c r="N122" t="n">
        <x:v>0.16696057757238197</x:v>
      </x:c>
      <x:c r="O122" t="n">
        <x:v>0.7887968724973078</x:v>
      </x:c>
      <x:c r="P122" t="n">
        <x:v>0.0003158316031464876</x:v>
      </x:c>
      <x:c r="Q122" t="n">
        <x:v>8.165187728725018</x:v>
      </x:c>
      <x:c r="R122" t="n">
        <x:v>2314.29919982475</x:v>
      </x:c>
      <x:c r="S122" t="n">
        <x:v>1015.9945605331841</x:v>
      </x:c>
      <x:c r="T122" t="n">
        <x:v>45.85812567244963</x:v>
      </x:c>
      <x:c r="U122" t="n">
        <x:v>3.2557374745680447</x:v>
      </x:c>
      <x:c r="V122" t="n">
        <x:v>1139.2741656679505</x:v>
      </x:c>
      <x:c r="W122" t="n">
        <x:v>62.05931517790789</x:v>
      </x:c>
      <x:c r="X122" t="n">
        <x:v>21.74228359541014</x:v>
      </x:c>
      <x:c r="Y122" t="n">
        <x:v>3.2557374745680447</x:v>
      </x:c>
      <x:c r="Z122" t="n">
        <x:v>0</x:v>
      </x:c>
      <x:c r="AA122" t="n">
        <x:v>18.486546120842096</x:v>
      </x:c>
      <x:c r="AB122" t="n">
        <x:v>0</x:v>
      </x:c>
      <x:c r="AC122" t="n">
        <x:v>0</x:v>
      </x:c>
    </x:row>
    <x:row r="123">
      <x:c r="A123" t="n">
        <x:v>2147</x:v>
      </x:c>
      <x:c r="B123" t="n">
        <x:v>285.98242795450955</x:v>
      </x:c>
      <x:c r="C123" t="n">
        <x:v>1.5</x:v>
      </x:c>
      <x:c r="D123" t="n">
        <x:v>15.2</x:v>
      </x:c>
      <x:c r="E123" t="n">
        <x:v>0.8037230203778661</x:v>
      </x:c>
      <x:c r="F123" t="n">
        <x:v>0.050446914801214146</x:v>
      </x:c>
      <x:c r="G123" t="n">
        <x:v>0.007847297857966642</x:v>
      </x:c>
      <x:c r="H123" t="n">
        <x:v>1665.0276853792582</x:v>
      </x:c>
      <x:c r="I123" s="30" t="b">
        <x:v>0</x:v>
      </x:c>
      <x:c r="J123" t="n">
        <x:v>0.8186817751754328</x:v>
      </x:c>
      <x:c r="K123" t="n">
        <x:v>0.848156959900777</x:v>
      </x:c>
      <x:c r="L123" t="n">
        <x:v>1371.2615082157338</x:v>
      </x:c>
      <x:c r="M123" t="n">
        <x:v>332.02430692586506</x:v>
      </x:c>
      <x:c r="N123" t="n">
        <x:v>0.15152241432487154</x:v>
      </x:c>
      <x:c r="O123" t="n">
        <x:v>0.7886704440938641</x:v>
      </x:c>
      <x:c r="P123" t="n">
        <x:v>0.00030959166747483057</x:v>
      </x:c>
      <x:c r="Q123" t="n">
        <x:v>8.165983879258869</x:v>
      </x:c>
      <x:c r="R123" t="n">
        <x:v>2314.301866863097</x:v>
      </x:c>
      <x:c r="S123" t="n">
        <x:v>1029.2313925996134</x:v>
      </x:c>
      <x:c r="T123" t="n">
        <x:v>46.84195803742582</x:v>
      </x:c>
      <x:c r="U123" t="n">
        <x:v>3.254730307483822</x:v>
      </x:c>
      <x:c r="V123" t="n">
        <x:v>1182.8613933978925</x:v>
      </x:c>
      <x:c r="W123" t="n">
        <x:v>66.02883947308676</x:v>
      </x:c>
      <x:c r="X123" t="n">
        <x:v>22.025551801631725</x:v>
      </x:c>
      <x:c r="Y123" t="n">
        <x:v>3.254730307483822</x:v>
      </x:c>
      <x:c r="Z123" t="n">
        <x:v>0</x:v>
      </x:c>
      <x:c r="AA123" t="n">
        <x:v>18.770821494147903</x:v>
      </x:c>
      <x:c r="AB123" t="n">
        <x:v>0</x:v>
      </x:c>
      <x:c r="AC123" t="n">
        <x:v>0</x:v>
      </x:c>
    </x:row>
    <x:row r="124">
      <x:c r="A124" t="n">
        <x:v>2148</x:v>
      </x:c>
      <x:c r="B124" t="n">
        <x:v>285.1599728785937</x:v>
      </x:c>
      <x:c r="C124" t="n">
        <x:v>1.5</x:v>
      </x:c>
      <x:c r="D124" t="n">
        <x:v>15.2</x:v>
      </x:c>
      <x:c r="E124" t="n">
        <x:v>0.8095946573477681</x:v>
      </x:c>
      <x:c r="F124" t="n">
        <x:v>0.04944799896056902</x:v>
      </x:c>
      <x:c r="G124" t="n">
        <x:v>0.007691910949421844</x:v>
      </x:c>
      <x:c r="H124" t="n">
        <x:v>1679.4180907219104</x:v>
      </x:c>
      <x:c r="I124" s="30" t="b">
        <x:v>0</x:v>
      </x:c>
      <x:c r="J124" t="n">
        <x:v>0.8114584768931017</x:v>
      </x:c>
      <x:c r="K124" t="n">
        <x:v>0.8479306355907755</x:v>
      </x:c>
      <x:c r="L124" t="n">
        <x:v>1371.238227336338</x:v>
      </x:c>
      <x:c r="M124" t="n">
        <x:v>331.9899834364011</x:v>
      </x:c>
      <x:c r="N124" t="n">
        <x:v>0.1361073079181862</x:v>
      </x:c>
      <x:c r="O124" t="n">
        <x:v>0.7885461039993886</x:v>
      </x:c>
      <x:c r="P124" t="n">
        <x:v>0.00030347416502038736</x:v>
      </x:c>
      <x:c r="Q124" t="n">
        <x:v>8.16677855215251</x:v>
      </x:c>
      <x:c r="R124" t="n">
        <x:v>2314.3044038284497</x:v>
      </x:c>
      <x:c r="S124" t="n">
        <x:v>1042.5993962313933</x:v>
      </x:c>
      <x:c r="T124" t="n">
        <x:v>47.84080904872905</x:v>
      </x:c>
      <x:c r="U124" t="n">
        <x:v>3.2537329411650524</x:v>
      </x:c>
      <x:c r="V124" t="n">
        <x:v>1227.4484695054564</x:v>
      </x:c>
      <x:c r="W124" t="n">
        <x:v>70.00980153238086</x:v>
      </x:c>
      <x:c r="X124" t="n">
        <x:v>22.311627079351815</x:v>
      </x:c>
      <x:c r="Y124" t="n">
        <x:v>3.2537329411650524</x:v>
      </x:c>
      <x:c r="Z124" t="n">
        <x:v>0</x:v>
      </x:c>
      <x:c r="AA124" t="n">
        <x:v>19.057894138186764</x:v>
      </x:c>
      <x:c r="AB124" t="n">
        <x:v>0</x:v>
      </x:c>
      <x:c r="AC124" t="n">
        <x:v>0</x:v>
      </x:c>
    </x:row>
    <x:row r="125">
      <x:c r="A125" t="n">
        <x:v>2149</x:v>
      </x:c>
      <x:c r="B125" t="n">
        <x:v>284.34105882960654</x:v>
      </x:c>
      <x:c r="C125" t="n">
        <x:v>1.5</x:v>
      </x:c>
      <x:c r="D125" t="n">
        <x:v>15.2</x:v>
      </x:c>
      <x:c r="E125" t="n">
        <x:v>0.8154443633391559</x:v>
      </x:c>
      <x:c r="F125" t="n">
        <x:v>0.048468862978823565</x:v>
      </x:c>
      <x:c r="G125" t="n">
        <x:v>0.0075396009078169965</x:v>
      </x:c>
      <x:c r="H125" t="n">
        <x:v>1693.802646358571</x:v>
      </x:c>
      <x:c r="I125" s="30" t="b">
        <x:v>0</x:v>
      </x:c>
      <x:c r="J125" t="n">
        <x:v>0.8042268125281159</x:v>
      </x:c>
      <x:c r="K125" t="n">
        <x:v>0.8476562521300819</x:v>
      </x:c>
      <x:c r="L125" t="n">
        <x:v>1371.2169194128232</x:v>
      </x:c>
      <x:c r="M125" t="n">
        <x:v>331.95597484133583</x:v>
      </x:c>
      <x:c r="N125" t="n">
        <x:v>0.12071433341001639</x:v>
      </x:c>
      <x:c r="O125" t="n">
        <x:v>0.7884237540001422</x:v>
      </x:c>
      <x:c r="P125" t="n">
        <x:v>0.00029747676261965766</x:v>
      </x:c>
      <x:c r="Q125" t="n">
        <x:v>8.167571797069472</x:v>
      </x:c>
      <x:c r="R125" t="n">
        <x:v>2314.306817064542</x:v>
      </x:c>
      <x:c r="S125" t="n">
        <x:v>1056.0997618737551</x:v>
      </x:c>
      <x:c r="T125" t="n">
        <x:v>48.85483421932015</x:v>
      </x:c>
      <x:c r="U125" t="n">
        <x:v>3.2527451947563915</x:v>
      </x:c>
      <x:c r="V125" t="n">
        <x:v>1273.0505585300202</x:v>
      </x:c>
      <x:c r="W125" t="n">
        <x:v>74.00155408209368</x:v>
      </x:c>
      <x:c r="X125" t="n">
        <x:v>22.60053490409836</x:v>
      </x:c>
      <x:c r="Y125" t="n">
        <x:v>3.2527451947563915</x:v>
      </x:c>
      <x:c r="Z125" t="n">
        <x:v>0</x:v>
      </x:c>
      <x:c r="AA125" t="n">
        <x:v>19.347789709341967</x:v>
      </x:c>
      <x:c r="AB125" t="n">
        <x:v>0</x:v>
      </x:c>
      <x:c r="AC125" t="n">
        <x:v>0</x:v>
      </x:c>
    </x:row>
    <x:row r="126">
      <x:c r="A126" t="n">
        <x:v>2150</x:v>
      </x:c>
      <x:c r="B126" t="n">
        <x:v>283.52562092755164</x:v>
      </x:c>
      <x:c r="C126" t="n">
        <x:v>1.5</x:v>
      </x:c>
      <x:c r="D126" t="n">
        <x:v>15.2</x:v>
      </x:c>
      <x:c r="E126" t="n">
        <x:v>0.8212722427328109</x:v>
      </x:c>
      <x:c r="F126" t="n">
        <x:v>0.047509115188529766</x:v>
      </x:c>
      <x:c r="G126" t="n">
        <x:v>0.007390306807104629</x:v>
      </x:c>
      <x:c r="H126" t="n">
        <x:v>1708.1813741158385</x:v>
      </x:c>
      <x:c r="I126" s="30" t="b">
        <x:v>0</x:v>
      </x:c>
      <x:c r="J126" t="n">
        <x:v>0.7969863780273446</x:v>
      </x:c>
      <x:c r="K126" t="n">
        <x:v>0.8473340806534866</x:v>
      </x:c>
      <x:c r="L126" t="n">
        <x:v>1371.1974172455384</x:v>
      </x:c>
      <x:c r="M126" t="n">
        <x:v>331.9222782517299</x:v>
      </x:c>
      <x:c r="N126" t="n">
        <x:v>0.10534258563110986</x:v>
      </x:c>
      <x:c r="O126" t="n">
        <x:v>0.7883033034875921</x:v>
      </x:c>
      <x:c r="P126" t="n">
        <x:v>0.0002915971659074136</x:v>
      </x:c>
      <x:c r="Q126" t="n">
        <x:v>8.168363662549176</x:v>
      </x:c>
      <x:c r="R126" t="n">
        <x:v>2314.309112605721</x:v>
      </x:c>
      <x:c r="S126" t="n">
        <x:v>1069.733693639568</x:v>
      </x:c>
      <x:c r="T126" t="n">
        <x:v>49.88419066656124</x:v>
      </x:c>
      <x:c r="U126" t="n">
        <x:v>3.2517668922895338</x:v>
      </x:c>
      <x:c r="V126" t="n">
        <x:v>1319.682982304292</x:v>
      </x:c>
      <x:c r="W126" t="n">
        <x:v>78.00345830514341</x:v>
      </x:c>
      <x:c r="X126" t="n">
        <x:v>22.892301043886754</x:v>
      </x:c>
      <x:c r="Y126" t="n">
        <x:v>3.2517668922895338</x:v>
      </x:c>
      <x:c r="Z126" t="n">
        <x:v>0</x:v>
      </x:c>
      <x:c r="AA126" t="n">
        <x:v>19.64053415159722</x:v>
      </x:c>
      <x:c r="AB126" t="n">
        <x:v>0</x:v>
      </x:c>
      <x:c r="AC126" t="n">
        <x:v>0</x:v>
      </x:c>
    </x:row>
    <x:row r="127">
      <x:c r="A127" t="n">
        <x:v>2151</x:v>
      </x:c>
      <x:c r="B127" t="n">
        <x:v>282.7135959523751</x:v>
      </x:c>
      <x:c r="C127" t="n">
        <x:v>1.5</x:v>
      </x:c>
      <x:c r="D127" t="n">
        <x:v>15.2</x:v>
      </x:c>
      <x:c r="E127" t="n">
        <x:v>0.8270783993927244</x:v>
      </x:c>
      <x:c r="F127" t="n">
        <x:v>0.04656837167777469</x:v>
      </x:c>
      <x:c r="G127" t="n">
        <x:v>0.007243968927653838</x:v>
      </x:c>
      <x:c r="H127" t="n">
        <x:v>1722.554295716446</x:v>
      </x:c>
      <x:c r="I127" s="30" t="b">
        <x:v>0</x:v>
      </x:c>
      <x:c r="J127" t="n">
        <x:v>0.7897367881234472</x:v>
      </x:c>
      <x:c r="K127" t="n">
        <x:v>0.8469643877232799</x:v>
      </x:c>
      <x:c r="L127" t="n">
        <x:v>1371.1795678042947</x:v>
      </x:c>
      <x:c r="M127" t="n">
        <x:v>331.88889080514787</x:v>
      </x:c>
      <x:c r="N127" t="n">
        <x:v>0.089991178693678</x:v>
      </x:c>
      <x:c r="O127" t="n">
        <x:v>0.7881846688207701</x:v>
      </x:c>
      <x:c r="P127" t="n">
        <x:v>0.00028583311915818065</x:v>
      </x:c>
      <x:c r="Q127" t="n">
        <x:v>8.169154196036134</x:v>
      </x:c>
      <x:c r="R127" t="n">
        <x:v>2314.311296192036</x:v>
      </x:c>
      <x:c r="S127" t="n">
        <x:v>1083.5024094359198</x:v>
      </x:c>
      <x:c r="T127" t="n">
        <x:v>50.92903704664674</x:v>
      </x:c>
      <x:c r="U127" t="n">
        <x:v>3.2507978625100105</x:v>
      </x:c>
      <x:c r="V127" t="n">
        <x:v>1367.3612214884288</x:v>
      </x:c>
      <x:c r="W127" t="n">
        <x:v>82.0148838683527</x:v>
      </x:c>
      <x:c r="X127" t="n">
        <x:v>23.186951561928684</x:v>
      </x:c>
      <x:c r="Y127" t="n">
        <x:v>3.2507978625100105</x:v>
      </x:c>
      <x:c r="Z127" t="n">
        <x:v>0</x:v>
      </x:c>
      <x:c r="AA127" t="n">
        <x:v>19.936153699418675</x:v>
      </x:c>
      <x:c r="AB127" t="n">
        <x:v>0</x:v>
      </x:c>
      <x:c r="AC127" t="n">
        <x:v>0</x:v>
      </x:c>
    </x:row>
    <x:row r="128">
      <x:c r="A128" t="n">
        <x:v>2152</x:v>
      </x:c>
      <x:c r="B128" t="n">
        <x:v>281.9049222980815</x:v>
      </x:c>
      <x:c r="C128" t="n">
        <x:v>1.5</x:v>
      </x:c>
      <x:c r="D128" t="n">
        <x:v>15.2</x:v>
      </x:c>
      <x:c r="E128" t="n">
        <x:v>0.8328629366686767</x:v>
      </x:c>
      <x:c r="F128" t="n">
        <x:v>0.045646256136610636</x:v>
      </x:c>
      <x:c r="G128" t="n">
        <x:v>0.007100528732361651</x:v>
      </x:c>
      <x:c r="H128" t="n">
        <x:v>1736.9214327797772</x:v>
      </x:c>
      <x:c r="I128" s="30" t="b">
        <x:v>0</x:v>
      </x:c>
      <x:c r="J128" t="n">
        <x:v>0.7824776739676469</x:v>
      </x:c>
      <x:c r="K128" t="n">
        <x:v>0.8465474354817367</x:v>
      </x:c>
      <x:c r="L128" t="n">
        <x:v>1371.1632310275631</x:v>
      </x:c>
      <x:c r="M128" t="n">
        <x:v>331.8558096654152</x:v>
      </x:c>
      <x:c r="N128" t="n">
        <x:v>0.07465924551687493</x:v>
      </x:c>
      <x:c r="O128" t="n">
        <x:v>0.788067772742538</x:v>
      </x:c>
      <x:c r="P128" t="n">
        <x:v>0.00028018240506708585</x:v>
      </x:c>
      <x:c r="Q128" t="n">
        <x:v>8.169943443908108</x:v>
      </x:c>
      <x:c r="R128" t="n">
        <x:v>2314.3133732835895</x:v>
      </x:c>
      <x:c r="S128" t="n">
        <x:v>1097.4071410916513</x:v>
      </x:c>
      <x:c r="T128" t="n">
        <x:v>51.9895335076474</x:v>
      </x:c>
      <x:c r="U128" t="n">
        <x:v>3.249837938711547</x:v>
      </x:c>
      <x:c r="V128" t="n">
        <x:v>1416.1009170573645</x:v>
      </x:c>
      <x:c r="W128" t="n">
        <x:v>86.03520893952718</x:v>
      </x:c>
      <x:c r="X128" t="n">
        <x:v>23.484512819361335</x:v>
      </x:c>
      <x:c r="Y128" t="n">
        <x:v>3.249837938711547</x:v>
      </x:c>
      <x:c r="Z128" t="n">
        <x:v>0</x:v>
      </x:c>
      <x:c r="AA128" t="n">
        <x:v>20.234674880649788</x:v>
      </x:c>
      <x:c r="AB128" t="n">
        <x:v>0</x:v>
      </x:c>
      <x:c r="AC128" t="n">
        <x:v>0</x:v>
      </x:c>
    </x:row>
    <x:row r="129">
      <x:c r="A129" t="n">
        <x:v>2153</x:v>
      </x:c>
      <x:c r="B129" t="n">
        <x:v>281.09953992839723</x:v>
      </x:c>
      <x:c r="C129" t="n">
        <x:v>1.5</x:v>
      </x:c>
      <x:c r="D129" t="n">
        <x:v>15.2</x:v>
      </x:c>
      <x:c r="E129" t="n">
        <x:v>0.8386259573988037</x:v>
      </x:c>
      <x:c r="F129" t="n">
        <x:v>0.04474239970652608</x:v>
      </x:c>
      <x:c r="G129" t="n">
        <x:v>0.006959928843237388</x:v>
      </x:c>
      <x:c r="H129" t="n">
        <x:v>1751.2828068223785</x:v>
      </x:c>
      <x:c r="I129" s="30" t="b">
        <x:v>0</x:v>
      </x:c>
      <x:c r="J129" t="n">
        <x:v>0.7752086812753022</x:v>
      </x:c>
      <x:c r="K129" t="n">
        <x:v>0.846083481788004</x:v>
      </x:c>
      <x:c r="L129" t="n">
        <x:v>1371.1482787234359</x:v>
      </x:c>
      <x:c r="M129" t="n">
        <x:v>331.8230320223774</x:v>
      </x:c>
      <x:c r="N129" t="n">
        <x:v>0.05934593736755819</x:v>
      </x:c>
      <x:c r="O129" t="n">
        <x:v>0.787952543845208</x:v>
      </x:c>
      <x:c r="P129" t="n">
        <x:v>0.00027464284449740784</x:v>
      </x:c>
      <x:c r="Q129" t="n">
        <x:v>8.170731451503366</x:v>
      </x:c>
      <x:c r="R129" t="n">
        <x:v>2314.3153490741925</x:v>
      </x:c>
      <x:c r="S129" t="n">
        <x:v>1111.4491344858573</x:v>
      </x:c>
      <x:c r="T129" t="n">
        <x:v>53.06584165658105</x:v>
      </x:c>
      <x:c r="U129" t="n">
        <x:v>3.2488869585776174</x:v>
      </x:c>
      <x:c r="V129" t="n">
        <x:v>1465.917871755368</x:v>
      </x:c>
      <x:c r="W129" t="n">
        <x:v>90.06382019623639</x:v>
      </x:c>
      <x:c r="X129" t="n">
        <x:v>23.785011477997344</x:v>
      </x:c>
      <x:c r="Y129" t="n">
        <x:v>3.2488869585776174</x:v>
      </x:c>
      <x:c r="Z129" t="n">
        <x:v>0</x:v>
      </x:c>
      <x:c r="AA129" t="n">
        <x:v>20.536124519419726</x:v>
      </x:c>
      <x:c r="AB129" t="n">
        <x:v>0</x:v>
      </x:c>
      <x:c r="AC129" t="n">
        <x:v>0</x:v>
      </x:c>
    </x:row>
    <x:row r="130">
      <x:c r="A130" t="n">
        <x:v>2154</x:v>
      </x:c>
      <x:c r="B130" t="n">
        <x:v>280.5</x:v>
      </x:c>
      <x:c r="C130" t="n">
        <x:v>1.5</x:v>
      </x:c>
      <x:c r="D130" t="n">
        <x:v>13.567775724124287</x:v>
      </x:c>
      <x:c r="E130" t="n">
        <x:v>0.8443675639121492</x:v>
      </x:c>
      <x:c r="F130" t="n">
        <x:v>0.04385644083289742</x:v>
      </x:c>
      <x:c r="G130" t="n">
        <x:v>0.0068221130184507065</x:v>
      </x:c>
      <x:c r="H130" t="n">
        <x:v>1764.0062149825908</x:v>
      </x:c>
      <x:c r="I130" s="30" t="b">
        <x:v>0</x:v>
      </x:c>
      <x:c r="J130" t="n">
        <x:v>0.7683927388055029</x:v>
      </x:c>
      <x:c r="K130" t="n">
        <x:v>0.8455743189032606</x:v>
      </x:c>
      <x:c r="L130" t="n">
        <x:v>1371.1345935637262</x:v>
      </x:c>
      <x:c r="M130" t="n">
        <x:v>331.790555091661</x:v>
      </x:c>
      <x:c r="N130" t="n">
        <x:v>0.04791794405440859</x:v>
      </x:c>
      <x:c r="O130" t="n">
        <x:v>0.7878389160813446</x:v>
      </x:c>
      <x:c r="P130" t="n">
        <x:v>0.00026921229619363967</x:v>
      </x:c>
      <x:c r="Q130" t="n">
        <x:v>8.17130992620765</x:v>
      </x:c>
      <x:c r="R130" t="n">
        <x:v>2314.2420552080184</x:v>
      </x:c>
      <x:c r="S130" t="n">
        <x:v>1125.6296496773855</x:v>
      </x:c>
      <x:c r="T130" t="n">
        <x:v>54.158124537065234</x:v>
      </x:c>
      <x:c r="U130" t="n">
        <x:v>2.82334074944806</x:v>
      </x:c>
      <x:c r="V130" t="n">
        <x:v>1517.2526555429852</x:v>
      </x:c>
      <x:c r="W130" t="n">
        <x:v>94.13377654809635</x:v>
      </x:c>
      <x:c r="X130" t="n">
        <x:v>24.088474503096048</x:v>
      </x:c>
      <x:c r="Y130" t="n">
        <x:v>2.82334074944806</x:v>
      </x:c>
      <x:c r="Z130" t="n">
        <x:v>0</x:v>
      </x:c>
      <x:c r="AA130" t="n">
        <x:v>21.265133753647987</x:v>
      </x:c>
      <x:c r="AB130" t="n">
        <x:v>0</x:v>
      </x:c>
      <x:c r="AC130" t="n">
        <x:v>0</x:v>
      </x:c>
    </x:row>
    <x:row r="131">
      <x:c r="A131" t="n">
        <x:v>2155</x:v>
      </x:c>
      <x:c r="B131" t="n">
        <x:v>279.95318242149614</x:v>
      </x:c>
      <x:c r="C131" t="n">
        <x:v>1.5</x:v>
      </x:c>
      <x:c r="D131" t="n">
        <x:v>13.067775724124289</x:v>
      </x:c>
      <x:c r="E131" t="n">
        <x:v>0.8491185208393698</x:v>
      </x:c>
      <x:c r="F131" t="n">
        <x:v>0.04298802512036227</x:v>
      </x:c>
      <x:c r="G131" t="n">
        <x:v>0.006687026129834126</x:v>
      </x:c>
      <x:c r="H131" t="n">
        <x:v>1776.2248721858757</x:v>
      </x:c>
      <x:c r="I131" s="30" t="b">
        <x:v>0</x:v>
      </x:c>
      <x:c r="J131" t="n">
        <x:v>0.7620251549096339</x:v>
      </x:c>
      <x:c r="K131" t="n">
        <x:v>0.8450233515933268</x:v>
      </x:c>
      <x:c r="L131" t="n">
        <x:v>1371.122068163314</x:v>
      </x:c>
      <x:c r="M131" t="n">
        <x:v>331.75837611443745</x:v>
      </x:c>
      <x:c r="N131" t="n">
        <x:v>0.03747358701240256</x:v>
      </x:c>
      <x:c r="O131" t="n">
        <x:v>0.7877268283159273</x:v>
      </x:c>
      <x:c r="P131" t="n">
        <x:v>0.00026388865644936984</x:v>
      </x:c>
      <x:c r="Q131" t="n">
        <x:v>8.17183523543966</x:v>
      </x:c>
      <x:c r="R131" t="n">
        <x:v>2314.1493080560435</x:v>
      </x:c>
      <x:c r="S131" t="n">
        <x:v>1139.9499610353566</x:v>
      </x:c>
      <x:c r="T131" t="n">
        <x:v>55.266546614961925</x:v>
      </x:c>
      <x:c r="U131" t="n">
        <x:v>2.7030242215891223</x:v>
      </x:c>
      <x:c r="V131" t="n">
        <x:v>1569.816177936358</x:v>
      </x:c>
      <x:c r="W131" t="n">
        <x:v>98.21943730546094</x:v>
      </x:c>
      <x:c r="X131" t="n">
        <x:v>24.39492916615663</x:v>
      </x:c>
      <x:c r="Y131" t="n">
        <x:v>2.7030242215891223</x:v>
      </x:c>
      <x:c r="Z131" t="n">
        <x:v>0</x:v>
      </x:c>
      <x:c r="AA131" t="n">
        <x:v>21.691904944567508</x:v>
      </x:c>
      <x:c r="AB131" t="n">
        <x:v>13.51512110794561</x:v>
      </x:c>
      <x:c r="AC131" t="n">
        <x:v>8.176783836621897</x:v>
      </x:c>
    </x:row>
    <x:row r="132">
      <x:c r="A132" t="n">
        <x:v>2156</x:v>
      </x:c>
      <x:c r="B132" t="n">
        <x:v>279.5</x:v>
      </x:c>
      <x:c r="C132" t="n">
        <x:v>1.5</x:v>
      </x:c>
      <x:c r="D132" t="n">
        <x:v>12.225123156697137</x:v>
      </x:c>
      <x:c r="E132" t="n">
        <x:v>0.8535553116141787</x:v>
      </x:c>
      <x:c r="F132" t="n">
        <x:v>0.04213680519105656</x:v>
      </x:c>
      <x:c r="G132" t="n">
        <x:v>0.006554614140831016</x:v>
      </x:c>
      <x:c r="H132" t="n">
        <x:v>1787.5964400309588</x:v>
      </x:c>
      <x:c r="I132" s="30" t="b">
        <x:v>0</x:v>
      </x:c>
      <x:c r="J132" t="n">
        <x:v>0.7561973811516671</x:v>
      </x:c>
      <x:c r="K132" t="n">
        <x:v>0.8444342483455978</x:v>
      </x:c>
      <x:c r="L132" t="n">
        <x:v>1371.110604237513</x:v>
      </x:c>
      <x:c r="M132" t="n">
        <x:v>331.7264923571884</x:v>
      </x:c>
      <x:c r="N132" t="n">
        <x:v>0.02880221444402252</x:v>
      </x:c>
      <x:c r="O132" t="n">
        <x:v>0.7876162239163802</x:v>
      </x:c>
      <x:c r="P132" t="n">
        <x:v>0.00025866985877276465</x:v>
      </x:c>
      <x:c r="Q132" t="n">
        <x:v>8.172264974108195</x:v>
      </x:c>
      <x:c r="R132" t="n">
        <x:v>2314.022275248769</x:v>
      </x:c>
      <x:c r="S132" t="n">
        <x:v>1154.411357370727</x:v>
      </x:c>
      <x:c r="T132" t="n">
        <x:v>56.39127377006871</x:v>
      </x:c>
      <x:c r="U132" t="n">
        <x:v>2.507293284039114</x:v>
      </x:c>
      <x:c r="V132" t="n">
        <x:v>1623.7001584223874</x:v>
      </x:c>
      <x:c r="W132" t="n">
        <x:v>102.32561123350848</x:v>
      </x:c>
      <x:c r="X132" t="n">
        <x:v>24.704403047733557</x:v>
      </x:c>
      <x:c r="Y132" t="n">
        <x:v>2.507293284039114</x:v>
      </x:c>
      <x:c r="Z132" t="n">
        <x:v>0</x:v>
      </x:c>
      <x:c r="AA132" t="n">
        <x:v>22.197109763694442</x:v>
      </x:c>
      <x:c r="AB132" t="n">
        <x:v>13.51512110794561</x:v>
      </x:c>
      <x:c r="AC132" t="n">
        <x:v>22.197109763694442</x:v>
      </x:c>
    </x:row>
    <x:row r="133">
      <x:c r="A133" t="n">
        <x:v>2157</x:v>
      </x:c>
      <x:c r="B133" t="n">
        <x:v>279.5</x:v>
      </x:c>
      <x:c r="C133" t="n">
        <x:v>1.5</x:v>
      </x:c>
      <x:c r="D133" t="n">
        <x:v>8.45361151092403</x:v>
      </x:c>
      <x:c r="E133" t="n">
        <x:v>0.8574757449166238</x:v>
      </x:c>
      <x:c r="F133" t="n">
        <x:v>0.04130244054565883</x:v>
      </x:c>
      <x:c r="G133" t="n">
        <x:v>0.00642482408488026</x:v>
      </x:c>
      <x:c r="H133" t="n">
        <x:v>1795.1925757969661</x:v>
      </x:c>
      <x:c r="I133" s="30" t="b">
        <x:v>0</x:v>
      </x:c>
      <x:c r="J133" t="n">
        <x:v>0.7518038408061906</x:v>
      </x:c>
      <x:c r="K133" t="n">
        <x:v>0.8438139469827972</x:v>
      </x:c>
      <x:c r="L133" t="n">
        <x:v>1371.1001118308477</x:v>
      </x:c>
      <x:c r="M133" t="n">
        <x:v>331.69490111147377</x:v>
      </x:c>
      <x:c r="N133" t="n">
        <x:v>0.02880221444402252</x:v>
      </x:c>
      <x:c r="O133" t="n">
        <x:v>0.7875070503772561</x:v>
      </x:c>
      <x:c r="P133" t="n">
        <x:v>0.0002535538734961735</x:v>
      </x:c>
      <x:c r="Q133" t="n">
        <x:v>8.172227857068451</x:v>
      </x:c>
      <x:c r="R133" t="n">
        <x:v>2313.727738146093</x:v>
      </x:c>
      <x:c r="S133" t="n">
        <x:v>1169.0151420689206</x:v>
      </x:c>
      <x:c r="T133" t="n">
        <x:v>57.53247329239404</x:v>
      </x:c>
      <x:c r="U133" t="n">
        <x:v>1.6904014371921026</x:v>
      </x:c>
      <x:c r="V133" t="n">
        <x:v>1679.5422302775894</x:v>
      </x:c>
      <x:c r="W133" t="n">
        <x:v>106.49756053672317</x:v>
      </x:c>
      <x:c r="X133" t="n">
        <x:v>25.016924040274898</x:v>
      </x:c>
      <x:c r="Y133" t="n">
        <x:v>1.6904014371921026</x:v>
      </x:c>
      <x:c r="Z133" t="n">
        <x:v>0</x:v>
      </x:c>
      <x:c r="AA133" t="n">
        <x:v>23.326522603082793</x:v>
      </x:c>
      <x:c r="AB133" t="n">
        <x:v>13.51512110794561</x:v>
      </x:c>
      <x:c r="AC133" t="n">
        <x:v>23.326522603082793</x:v>
      </x:c>
    </x:row>
    <x:row r="134">
      <x:c r="A134" t="n">
        <x:v>2158</x:v>
      </x:c>
      <x:c r="B134" t="n">
        <x:v>279.5212719198372</x:v>
      </x:c>
      <x:c r="C134" t="n">
        <x:v>1.5</x:v>
      </x:c>
      <x:c r="D134" t="n">
        <x:v>7.9536115109240315</x:v>
      </x:c>
      <x:c r="E134" t="n">
        <x:v>0.8591425757549855</x:v>
      </x:c>
      <x:c r="F134" t="n">
        <x:v>0.04048459742718593</x:v>
      </x:c>
      <x:c r="G134" t="n">
        <x:v>0.006297604044228918</x:v>
      </x:c>
      <x:c r="H134" t="n">
        <x:v>1802.2870447321352</x:v>
      </x:c>
      <x:c r="I134" s="30" t="b">
        <x:v>0</x:v>
      </x:c>
      <x:c r="J134" t="n">
        <x:v>0.7485175124721415</x:v>
      </x:c>
      <x:c r="K134" t="n">
        <x:v>0.8431714210262149</x:v>
      </x:c>
      <x:c r="L134" t="n">
        <x:v>1371.090508611188</x:v>
      </x:c>
      <x:c r="M134" t="n">
        <x:v>331.6635996937014</x:v>
      </x:c>
      <x:c r="N134" t="n">
        <x:v>0.02920955419929172</x:v>
      </x:c>
      <x:c r="O134" t="n">
        <x:v>0.7873992589766523</x:v>
      </x:c>
      <x:c r="P134" t="n">
        <x:v>0.00024853870738690196</x:v>
      </x:c>
      <x:c r="Q134" t="n">
        <x:v>8.172168705135526</x:v>
      </x:c>
      <x:c r="R134" t="n">
        <x:v>2313.424537917586</x:v>
      </x:c>
      <x:c r="S134" t="n">
        <x:v>1183.7626332235511</x:v>
      </x:c>
      <x:c r="T134" t="n">
        <x:v>58.69031388191776</x:v>
      </x:c>
      <x:c r="U134" t="n">
        <x:v>1.5862292862984575</x:v>
      </x:c>
      <x:c r="V134" t="n">
        <x:v>1736.6463148732087</x:v>
      </x:c>
      <x:c r="W134" t="n">
        <x:v>110.68014289598997</x:v>
      </x:c>
      <x:c r="X134" t="n">
        <x:v>25.33252035098399</x:v>
      </x:c>
      <x:c r="Y134" t="n">
        <x:v>1.5862292862984575</x:v>
      </x:c>
      <x:c r="Z134" t="n">
        <x:v>0</x:v>
      </x:c>
      <x:c r="AA134" t="n">
        <x:v>23.746291064685533</x:v>
      </x:c>
      <x:c r="AB134" t="n">
        <x:v>13.51512110794561</x:v>
      </x:c>
      <x:c r="AC134" t="n">
        <x:v>23.746291064685533</x:v>
      </x:c>
    </x:row>
    <x:row r="135">
      <x:c r="A135" t="n">
        <x:v>2159</x:v>
      </x:c>
      <x:c r="B135" t="n">
        <x:v>279.5676965394457</x:v>
      </x:c>
      <x:c r="C135" t="n">
        <x:v>1.5</x:v>
      </x:c>
      <x:c r="D135" t="n">
        <x:v>7.453611510924032</x:v>
      </x:c>
      <x:c r="E135" t="n">
        <x:v>0.8605079400258698</x:v>
      </x:c>
      <x:c r="F135" t="n">
        <x:v>0.039682948687485724</x:v>
      </x:c>
      <x:c r="G135" t="n">
        <x:v>0.006172903129164442</x:v>
      </x:c>
      <x:c r="H135" t="n">
        <x:v>1808.8801483030334</x:v>
      </x:c>
      <x:c r="I135" s="30" t="b">
        <x:v>0</x:v>
      </x:c>
      <x:c r="J135" t="n">
        <x:v>0.7461061957906889</x:v>
      </x:c>
      <x:c r="K135" t="n">
        <x:v>0.8425136524384482</x:v>
      </x:c>
      <x:c r="L135" t="n">
        <x:v>1371.0817192237027</x:v>
      </x:c>
      <x:c r="M135" t="n">
        <x:v>331.6325854448995</x:v>
      </x:c>
      <x:c r="N135" t="n">
        <x:v>0.030098439810227483</x:v>
      </x:c>
      <x:c r="O135" t="n">
        <x:v>0.7872928044616705</x:v>
      </x:c>
      <x:c r="P135" t="n">
        <x:v>0.00024362240322825385</x:v>
      </x:c>
      <x:c r="Q135" t="n">
        <x:v>8.172083755341939</x:v>
      </x:c>
      <x:c r="R135" t="n">
        <x:v>2313.1130970688796</x:v>
      </x:c>
      <x:c r="S135" t="n">
        <x:v>1198.655163771263</x:v>
      </x:c>
      <x:c r="T135" t="n">
        <x:v>59.86496565100954</x:v>
      </x:c>
      <x:c r="U135" t="n">
        <x:v>1.4828030711282292</x:v>
      </x:c>
      <x:c r="V135" t="n">
        <x:v>1795.02847745309</x:v>
      </x:c>
      <x:c r="W135" t="n">
        <x:v>114.87249097426563</x:v>
      </x:c>
      <x:c r="X135" t="n">
        <x:v>25.651220504705027</x:v>
      </x:c>
      <x:c r="Y135" t="n">
        <x:v>1.4828030711282292</x:v>
      </x:c>
      <x:c r="Z135" t="n">
        <x:v>0</x:v>
      </x:c>
      <x:c r="AA135" t="n">
        <x:v>24.1684174335768</x:v>
      </x:c>
      <x:c r="AB135" t="n">
        <x:v>13.51512110794561</x:v>
      </x:c>
      <x:c r="AC135" t="n">
        <x:v>24.1684174335768</x:v>
      </x:c>
    </x:row>
    <x:row r="136">
      <x:c r="A136" t="n">
        <x:v>2160</x:v>
      </x:c>
      <x:c r="B136" t="n">
        <x:v>279.6422730111338</x:v>
      </x:c>
      <x:c r="C136" t="n">
        <x:v>1.5</x:v>
      </x:c>
      <x:c r="D136" t="n">
        <x:v>6.953611510924032</x:v>
      </x:c>
      <x:c r="E136" t="n">
        <x:v>0.8615730776950336</x:v>
      </x:c>
      <x:c r="F136" t="n">
        <x:v>0.03889717365637355</x:v>
      </x:c>
      <x:c r="G136" t="n">
        <x:v>0.006050671457658104</x:v>
      </x:c>
      <x:c r="H136" t="n">
        <x:v>1814.9721867362623</x:v>
      </x:c>
      <x:c r="I136" s="30" t="b">
        <x:v>0</x:v>
      </x:c>
      <x:c r="J136" t="n">
        <x:v>0.7444056206011038</x:v>
      </x:c>
      <x:c r="K136" t="n">
        <x:v>0.8418462068954505</x:v>
      </x:c>
      <x:c r="L136" t="n">
        <x:v>1371.0736746995638</x:v>
      </x:c>
      <x:c r="M136" t="n">
        <x:v>331.6018557304903</x:v>
      </x:c>
      <x:c r="N136" t="n">
        <x:v>0.03152603597940882</x:v>
      </x:c>
      <x:c r="O136" t="n">
        <x:v>0.7871876447604598</x:v>
      </x:c>
      <x:c r="P136" t="n">
        <x:v>0.00023880303938748093</x:v>
      </x:c>
      <x:c r="Q136" t="n">
        <x:v>8.171970116900996</x:v>
      </x:c>
      <x:c r="R136" t="n">
        <x:v>2312.793817499764</x:v>
      </x:c>
      <x:c r="S136" t="n">
        <x:v>1213.6940816277083</x:v>
      </x:c>
      <x:c r="T136" t="n">
        <x:v>61.056600128885194</x:v>
      </x:c>
      <x:c r="U136" t="n">
        <x:v>1.3800592297468495</x:v>
      </x:c>
      <x:c r="V136" t="n">
        <x:v>1854.7050183522285</x:v>
      </x:c>
      <x:c r="W136" t="n">
        <x:v>119.07376129015287</x:v>
      </x:c>
      <x:c r="X136" t="n">
        <x:v>25.973053346832955</x:v>
      </x:c>
      <x:c r="Y136" t="n">
        <x:v>1.3800592297468495</x:v>
      </x:c>
      <x:c r="Z136" t="n">
        <x:v>0</x:v>
      </x:c>
      <x:c r="AA136" t="n">
        <x:v>24.592994117086107</x:v>
      </x:c>
      <x:c r="AB136" t="n">
        <x:v>13.51512110794561</x:v>
      </x:c>
      <x:c r="AC136" t="n">
        <x:v>24.592994117086107</x:v>
      </x:c>
    </x:row>
    <x:row r="137">
      <x:c r="A137" t="n">
        <x:v>2161</x:v>
      </x:c>
      <x:c r="B137" t="n">
        <x:v>279.7473034684375</x:v>
      </x:c>
      <x:c r="C137" t="n">
        <x:v>1.5</x:v>
      </x:c>
      <x:c r="D137" t="n">
        <x:v>6.453611510924032</x:v>
      </x:c>
      <x:c r="E137" t="n">
        <x:v>0.8623392227242663</x:v>
      </x:c>
      <x:c r="F137" t="n">
        <x:v>0.03812695801335982</x:v>
      </x:c>
      <x:c r="G137" t="n">
        <x:v>0.0059308601354115245</x:v>
      </x:c>
      <x:c r="H137" t="n">
        <x:v>1820.563459024462</x:v>
      </x:c>
      <x:c r="I137" s="30" t="b">
        <x:v>0</x:v>
      </x:c>
      <x:c r="J137" t="n">
        <x:v>0.7433000229257</x:v>
      </x:c>
      <x:c r="K137" t="n">
        <x:v>0.8411736453129229</x:v>
      </x:c>
      <x:c r="L137" t="n">
        <x:v>1371.0663119147584</x:v>
      </x:c>
      <x:c r="M137" t="n">
        <x:v>331.5714079400664</x:v>
      </x:c>
      <x:c r="N137" t="n">
        <x:v>0.03353595859166803</x:v>
      </x:c>
      <x:c r="O137" t="n">
        <x:v>0.7870837407185993</x:v>
      </x:c>
      <x:c r="P137" t="n">
        <x:v>0.00023407872936707542</x:v>
      </x:c>
      <x:c r="Q137" t="n">
        <x:v>8.171825591593166</x:v>
      </x:c>
      <x:c r="R137" t="n">
        <x:v>2312.4670815091445</x:v>
      </x:c>
      <x:c r="S137" t="n">
        <x:v>1228.8807498246877</x:v>
      </x:c>
      <x:c r="T137" t="n">
        <x:v>62.26539026763296</x:v>
      </x:c>
      <x:c r="U137" t="n">
        <x:v>1.2779424069180025</x:v>
      </x:c>
      <x:c r="V137" t="n">
        <x:v>1915.6924662129436</x:v>
      </x:c>
      <x:c r="W137" t="n">
        <x:v>123.28313294211486</x:v>
      </x:c>
      <x:c r="X137" t="n">
        <x:v>26.298048046248315</x:v>
      </x:c>
      <x:c r="Y137" t="n">
        <x:v>1.2779424069180025</x:v>
      </x:c>
      <x:c r="Z137" t="n">
        <x:v>0</x:v>
      </x:c>
      <x:c r="AA137" t="n">
        <x:v>25.020105639330314</x:v>
      </x:c>
      <x:c r="AB137" t="n">
        <x:v>13.51512110794561</x:v>
      </x:c>
      <x:c r="AC137" t="n">
        <x:v>25.020105639330314</x:v>
      </x:c>
    </x:row>
    <x:row r="138">
      <x:c r="A138" t="n">
        <x:v>2162</x:v>
      </x:c>
      <x:c r="B138" t="n">
        <x:v>279.88453931251394</x:v>
      </x:c>
      <x:c r="C138" t="n">
        <x:v>1.5</x:v>
      </x:c>
      <x:c r="D138" t="n">
        <x:v>5.953611510924032</x:v>
      </x:c>
      <x:c r="E138" t="n">
        <x:v>0.8628076031012191</x:v>
      </x:c>
      <x:c r="F138" t="n">
        <x:v>0.03737199366191766</x:v>
      </x:c>
      <x:c r="G138" t="n">
        <x:v>0.005813421236298299</x:v>
      </x:c>
      <x:c r="H138" t="n">
        <x:v>1825.6542629322848</x:v>
      </x:c>
      <x:c r="I138" s="30" t="b">
        <x:v>0</x:v>
      </x:c>
      <x:c r="J138" t="n">
        <x:v>0.7427081436415502</x:v>
      </x:c>
      <x:c r="K138" t="n">
        <x:v>0.8404998172190469</x:v>
      </x:c>
      <x:c r="L138" t="n">
        <x:v>1371.0595730947673</x:v>
      </x:c>
      <x:c r="M138" t="n">
        <x:v>331.5412394871694</x:v>
      </x:c>
      <x:c r="N138" t="n">
        <x:v>0.03616104493776073</x:v>
      </x:c>
      <x:c r="O138" t="n">
        <x:v>0.7869810558577566</x:v>
      </x:c>
      <x:c r="P138" t="n">
        <x:v>0.00022944762134653648</x:v>
      </x:c>
      <x:c r="Q138" t="n">
        <x:v>8.171648531339532</x:v>
      </x:c>
      <x:c r="R138" t="n">
        <x:v>2312.1332527509885</x:v>
      </x:c>
      <x:c r="S138" t="n">
        <x:v>1244.2165466484785</x:v>
      </x:c>
      <x:c r="T138" t="n">
        <x:v>63.4915104494589</x:v>
      </x:c>
      <x:c r="U138" t="n">
        <x:v>1.1764040070987853</x:v>
      </x:c>
      <x:c r="V138" t="n">
        <x:v>1978.0075726553036</x:v>
      </x:c>
      <x:c r="W138" t="n">
        <x:v>127.49980650988864</x:v>
      </x:c>
      <x:c r="X138" t="n">
        <x:v>26.626234098277436</x:v>
      </x:c>
      <x:c r="Y138" t="n">
        <x:v>1.1764040070987853</x:v>
      </x:c>
      <x:c r="Z138" t="n">
        <x:v>0</x:v>
      </x:c>
      <x:c r="AA138" t="n">
        <x:v>25.44983009117865</x:v>
      </x:c>
      <x:c r="AB138" t="n">
        <x:v>13.51512110794561</x:v>
      </x:c>
      <x:c r="AC138" t="n">
        <x:v>25.44983009117865</x:v>
      </x:c>
    </x:row>
    <x:row r="139">
      <x:c r="A139" t="n">
        <x:v>2163</x:v>
      </x:c>
      <x:c r="B139" t="n">
        <x:v>280</x:v>
      </x:c>
      <x:c r="C139" t="n">
        <x:v>1.5</x:v>
      </x:c>
      <x:c r="D139" t="n">
        <x:v>5.899085350320414</x:v>
      </x:c>
      <x:c r="E139" t="n">
        <x:v>0.8629794408690855</x:v>
      </x:c>
      <x:c r="F139" t="n">
        <x:v>0.03663197860624016</x:v>
      </x:c>
      <x:c r="G139" t="n">
        <x:v>0.0056983077831929095</x:v>
      </x:c>
      <x:c r="H139" t="n">
        <x:v>1830.690368841736</x:v>
      </x:c>
      <x:c r="I139" s="30" t="b">
        <x:v>0</x:v>
      </x:c>
      <x:c r="J139" t="n">
        <x:v>0.7424465545685364</x:v>
      </x:c>
      <x:c r="K139" t="n">
        <x:v>0.8398276485933872</x:v>
      </x:c>
      <x:c r="L139" t="n">
        <x:v>1371.053405361216</x:v>
      </x:c>
      <x:c r="M139" t="n">
        <x:v>331.51134780906955</x:v>
      </x:c>
      <x:c r="N139" t="n">
        <x:v>0.03836861306161274</x:v>
      </x:c>
      <x:c r="O139" t="n">
        <x:v>0.786879556154735</x:v>
      </x:c>
      <x:c r="P139" t="n">
        <x:v>0.00022490789771461092</x:v>
      </x:c>
      <x:c r="Q139" t="n">
        <x:v>8.1714946568911</x:v>
      </x:c>
      <x:c r="R139" t="n">
        <x:v>2311.8131937708285</x:v>
      </x:c>
      <x:c r="S139" t="n">
        <x:v>1259.7028657793715</x:v>
      </x:c>
      <x:c r="T139" t="n">
        <x:v>64.73513649488746</x:v>
      </x:c>
      <x:c r="U139" t="n">
        <x:v>1.165243490576301</x:v>
      </x:c>
      <x:c r="V139" t="n">
        <x:v>2041.5774656596147</x:v>
      </x:c>
      <x:c r="W139" t="n">
        <x:v>131.71704293625245</x:v>
      </x:c>
      <x:c r="X139" t="n">
        <x:v>26.957641327678548</x:v>
      </x:c>
      <x:c r="Y139" t="n">
        <x:v>1.165243490576301</x:v>
      </x:c>
      <x:c r="Z139" t="n">
        <x:v>0</x:v>
      </x:c>
      <x:c r="AA139" t="n">
        <x:v>25.792397837102246</x:v>
      </x:c>
      <x:c r="AB139" t="n">
        <x:v>13.51512110794561</x:v>
      </x:c>
      <x:c r="AC139" t="n">
        <x:v>25.792397837102246</x:v>
      </x:c>
    </x:row>
    <x:row r="140">
      <x:c r="A140" t="n">
        <x:v>2164</x:v>
      </x:c>
      <x:c r="B140" t="n">
        <x:v>280.0292419395824</x:v>
      </x:c>
      <x:c r="C140" t="n">
        <x:v>1.5</x:v>
      </x:c>
      <x:c r="D140" t="n">
        <x:v>6.399085350320414</x:v>
      </x:c>
      <x:c r="E140" t="n">
        <x:v>0.8631205079325043</x:v>
      </x:c>
      <x:c r="F140" t="n">
        <x:v>0.03590661683043805</x:v>
      </x:c>
      <x:c r="G140" t="n">
        <x:v>0.005585473729179247</x:v>
      </x:c>
      <x:c r="H140" t="n">
        <x:v>1836.226333684124</x:v>
      </x:c>
      <x:c r="I140" s="30" t="b">
        <x:v>0</x:v>
      </x:c>
      <x:c r="J140" t="n">
        <x:v>0.7422323246751796</x:v>
      </x:c>
      <x:c r="K140" t="n">
        <x:v>0.8391584557125681</x:v>
      </x:c>
      <x:c r="L140" t="n">
        <x:v>1371.0477603169486</x:v>
      </x:c>
      <x:c r="M140" t="n">
        <x:v>331.4817303665486</x:v>
      </x:c>
      <x:c r="N140" t="n">
        <x:v>0.038927564291130326</x:v>
      </x:c>
      <x:c r="O140" t="n">
        <x:v>0.7867792098391884</x:v>
      </x:c>
      <x:c r="P140" t="n">
        <x:v>0.00022045777458844384</x:v>
      </x:c>
      <x:c r="Q140" t="n">
        <x:v>8.171430410441705</x:v>
      </x:c>
      <x:c r="R140" t="n">
        <x:v>2311.5317721211595</x:v>
      </x:c>
      <x:c r="S140" t="n">
        <x:v>1275.34111643244</x:v>
      </x:c>
      <x:c r="T140" t="n">
        <x:v>65.99644567171867</x:v>
      </x:c>
      <x:c r="U140" t="n">
        <x:v>1.2664064488473155</x:v>
      </x:c>
      <x:c r="V140" t="n">
        <x:v>2106.3075048824862</x:v>
      </x:c>
      <x:c r="W140" t="n">
        <x:v>135.9270436264228</x:v>
      </x:c>
      <x:c r="X140" t="n">
        <x:v>27.292299891654213</x:v>
      </x:c>
      <x:c r="Y140" t="n">
        <x:v>1.2664064488473155</x:v>
      </x:c>
      <x:c r="Z140" t="n">
        <x:v>0</x:v>
      </x:c>
      <x:c r="AA140" t="n">
        <x:v>26.025893442806897</x:v>
      </x:c>
      <x:c r="AB140" t="n">
        <x:v>13.51512110794561</x:v>
      </x:c>
      <x:c r="AC140" t="n">
        <x:v>26.025893442806897</x:v>
      </x:c>
    </x:row>
    <x:row r="141">
      <x:c r="A141" t="n">
        <x:v>2165</x:v>
      </x:c>
      <x:c r="B141" t="n">
        <x:v>280</x:v>
      </x:c>
      <x:c r="C141" t="n">
        <x:v>1.5</x:v>
      </x:c>
      <x:c r="D141" t="n">
        <x:v>6.738117767705662</x:v>
      </x:c>
      <x:c r="E141" t="n">
        <x:v>0.8635602468572906</x:v>
      </x:c>
      <x:c r="F141" t="n">
        <x:v>0.03519561818012938</x:v>
      </x:c>
      <x:c r="G141" t="n">
        <x:v>0.005474873939131233</x:v>
      </x:c>
      <x:c r="H141" t="n">
        <x:v>1842.1008912049724</x:v>
      </x:c>
      <x:c r="I141" s="30" t="b">
        <x:v>0</x:v>
      </x:c>
      <x:c r="J141" t="n">
        <x:v>0.7419197228447053</x:v>
      </x:c>
      <x:c r="K141" t="n">
        <x:v>0.8384920592647411</x:v>
      </x:c>
      <x:c r="L141" t="n">
        <x:v>1371.0425936662634</x:v>
      </x:c>
      <x:c r="M141" t="n">
        <x:v>331.45238464368384</x:v>
      </x:c>
      <x:c r="N141" t="n">
        <x:v>0.03836861306161274</x:v>
      </x:c>
      <x:c r="O141" t="n">
        <x:v>0.7866799872084211</x:v>
      </x:c>
      <x:c r="P141" t="n">
        <x:v>0.0002160955013303348</x:v>
      </x:c>
      <x:c r="Q141" t="n">
        <x:v>8.171427339673736</x:v>
      </x:c>
      <x:c r="R141" t="n">
        <x:v>2311.279689956057</x:v>
      </x:c>
      <x:c r="S141" t="n">
        <x:v>1291.1327234995663</x:v>
      </x:c>
      <x:c r="T141" t="n">
        <x:v>67.27561670459323</x:v>
      </x:c>
      <x:c r="U141" t="n">
        <x:v>1.3352282040896406</x:v>
      </x:c>
      <x:c r="V141" t="n">
        <x:v>2172.24789338299</x:v>
      </x:c>
      <x:c r="W141" t="n">
        <x:v>140.13167209643652</x:v>
      </x:c>
      <x:c r="X141" t="n">
        <x:v>27.630240282890718</x:v>
      </x:c>
      <x:c r="Y141" t="n">
        <x:v>1.3352282040896406</x:v>
      </x:c>
      <x:c r="Z141" t="n">
        <x:v>0</x:v>
      </x:c>
      <x:c r="AA141" t="n">
        <x:v>26.295012078801076</x:v>
      </x:c>
      <x:c r="AB141" t="n">
        <x:v>13.51512110794561</x:v>
      </x:c>
      <x:c r="AC141" t="n">
        <x:v>26.295012078801076</x:v>
      </x:c>
    </x:row>
    <x:row r="142">
      <x:c r="A142" t="n">
        <x:v>2166</x:v>
      </x:c>
      <x:c r="B142" t="n">
        <x:v>280</x:v>
      </x:c>
      <x:c r="C142" t="n">
        <x:v>1.5</x:v>
      </x:c>
      <x:c r="D142" t="n">
        <x:v>6.411052141887455</x:v>
      </x:c>
      <x:c r="E142" t="n">
        <x:v>0.8642018327938713</x:v>
      </x:c>
      <x:c r="F142" t="n">
        <x:v>0.034498698246373936</x:v>
      </x:c>
      <x:c r="G142" t="n">
        <x:v>0.005366464171658163</x:v>
      </x:c>
      <x:c r="H142" t="n">
        <x:v>1847.647741514066</x:v>
      </x:c>
      <x:c r="I142" s="30" t="b">
        <x:v>0</x:v>
      </x:c>
      <x:c r="J142" t="n">
        <x:v>0.741601706478891</x:v>
      </x:c>
      <x:c r="K142" t="n">
        <x:v>0.8378280734901901</x:v>
      </x:c>
      <x:c r="L142" t="n">
        <x:v>1371.037864867331</x:v>
      </x:c>
      <x:c r="M142" t="n">
        <x:v>331.4233081476344</x:v>
      </x:c>
      <x:c r="N142" t="n">
        <x:v>0.03836861306161274</x:v>
      </x:c>
      <x:c r="O142" t="n">
        <x:v>0.7865818604578252</x:v>
      </x:c>
      <x:c r="P142" t="n">
        <x:v>0.0002118193600609128</x:v>
      </x:c>
      <x:c r="Q142" t="n">
        <x:v>8.1713951765636</x:v>
      </x:c>
      <x:c r="R142" t="n">
        <x:v>2311.0248387339025</x:v>
      </x:c>
      <x:c r="S142" t="n">
        <x:v>1307.0791276927466</x:v>
      </x:c>
      <x:c r="T142" t="n">
        <x:v>68.57282978505397</x:v>
      </x:c>
      <x:c r="U142" t="n">
        <x:v>1.268513907255112</x:v>
      </x:c>
      <x:c r="V142" t="n">
        <x:v>2239.5522092607885</x:v>
      </x:c>
      <x:c r="W142" t="n">
        <x:v>144.33912116490913</x:v>
      </x:c>
      <x:c r="X142" t="n">
        <x:v>27.971493332624775</x:v>
      </x:c>
      <x:c r="Y142" t="n">
        <x:v>1.268513907255112</x:v>
      </x:c>
      <x:c r="Z142" t="n">
        <x:v>0</x:v>
      </x:c>
      <x:c r="AA142" t="n">
        <x:v>26.702979425369662</x:v>
      </x:c>
      <x:c r="AB142" t="n">
        <x:v>13.51512110794561</x:v>
      </x:c>
      <x:c r="AC142" t="n">
        <x:v>26.702979425369662</x:v>
      </x:c>
    </x:row>
    <x:row r="143">
      <x:c r="A143" t="n">
        <x:v>2167</x:v>
      </x:c>
      <x:c r="B143" t="n">
        <x:v>280</x:v>
      </x:c>
      <x:c r="C143" t="n">
        <x:v>1.5</x:v>
      </x:c>
      <x:c r="D143" t="n">
        <x:v>6.311370062349535</x:v>
      </x:c>
      <x:c r="E143" t="n">
        <x:v>0.8646488552405474</x:v>
      </x:c>
      <x:c r="F143" t="n">
        <x:v>0.033815578251905815</x:v>
      </x:c>
      <x:c r="G143" t="n">
        <x:v>0.005260201061407567</x:v>
      </x:c>
      <x:c r="H143" t="n">
        <x:v>1853.094462721175</x:v>
      </x:c>
      <x:c r="I143" s="30" t="b">
        <x:v>0</x:v>
      </x:c>
      <x:c r="J143" t="n">
        <x:v>0.7412800890751421</x:v>
      </x:c>
      <x:c r="K143" t="n">
        <x:v>0.8371664506948422</x:v>
      </x:c>
      <x:c r="L143" t="n">
        <x:v>1371.033536814071</x:v>
      </x:c>
      <x:c r="M143" t="n">
        <x:v>331.3944984084294</x:v>
      </x:c>
      <x:c r="N143" t="n">
        <x:v>0.03836861306161274</x:v>
      </x:c>
      <x:c r="O143" t="n">
        <x:v>0.7864848035256322</x:v>
      </x:c>
      <x:c r="P143" t="n">
        <x:v>0.0002076276651604101</x:v>
      </x:c>
      <x:c r="Q143" t="n">
        <x:v>8.171363998895897</x:v>
      </x:c>
      <x:c r="R143" t="n">
        <x:v>2310.7778258206145</x:v>
      </x:c>
      <x:c r="S143" t="n">
        <x:v>1323.1817856886987</x:v>
      </x:c>
      <x:c r="T143" t="n">
        <x:v>69.8882665820198</x:v>
      </x:c>
      <x:c r="U143" t="n">
        <x:v>1.248125556468057</x:v>
      </x:c>
      <x:c r="V143" t="n">
        <x:v>2308.19235028634</x:v>
      </x:c>
      <x:c r="W143" t="n">
        <x:v>148.54594134632575</x:v>
      </x:c>
      <x:c r="X143" t="n">
        <x:v>28.31609021373815</x:v>
      </x:c>
      <x:c r="Y143" t="n">
        <x:v>1.248125556468057</x:v>
      </x:c>
      <x:c r="Z143" t="n">
        <x:v>0</x:v>
      </x:c>
      <x:c r="AA143" t="n">
        <x:v>27.067964657270092</x:v>
      </x:c>
      <x:c r="AB143" t="n">
        <x:v>13.51512110794561</x:v>
      </x:c>
      <x:c r="AC143" t="n">
        <x:v>27.067964657270092</x:v>
      </x:c>
    </x:row>
    <x:row r="144">
      <x:c r="A144" t="n">
        <x:v>2168</x:v>
      </x:c>
      <x:c r="B144" t="n">
        <x:v>280</x:v>
      </x:c>
      <x:c r="C144" t="n">
        <x:v>1.5</x:v>
      </x:c>
      <x:c r="D144" t="n">
        <x:v>6.218922577913618</x:v>
      </x:c>
      <x:c r="E144" t="n">
        <x:v>0.8650371492989041</x:v>
      </x:c>
      <x:c r="F144" t="n">
        <x:v>0.033145984939618844</x:v>
      </x:c>
      <x:c r="G144" t="n">
        <x:v>0.005156042101718482</x:v>
      </x:c>
      <x:c r="H144" t="n">
        <x:v>1858.4483481497898</x:v>
      </x:c>
      <x:c r="I144" s="30" t="b">
        <x:v>0</x:v>
      </x:c>
      <x:c r="J144" t="n">
        <x:v>0.7409562046645574</x:v>
      </x:c>
      <x:c r="K144" t="n">
        <x:v>0.8365071543685935</x:v>
      </x:c>
      <x:c r="L144" t="n">
        <x:v>1371.0295755449856</x:v>
      </x:c>
      <x:c r="M144" t="n">
        <x:v>331.3659529787584</x:v>
      </x:c>
      <x:c r="N144" t="n">
        <x:v>0.03836861306161274</x:v>
      </x:c>
      <x:c r="O144" t="n">
        <x:v>0.7863887919507724</x:v>
      </x:c>
      <x:c r="P144" t="n">
        <x:v>0.0002035187627758632</x:v>
      </x:c>
      <x:c r="Q144" t="n">
        <x:v>8.171333800827572</x:v>
      </x:c>
      <x:c r="R144" t="n">
        <x:v>2310.5386021319864</x:v>
      </x:c>
      <x:c r="S144" t="n">
        <x:v>1339.442170274793</x:v>
      </x:c>
      <x:c r="T144" t="n">
        <x:v>71.22211025261007</x:v>
      </x:c>
      <x:c r="U144" t="n">
        <x:v>1.2292318712125154</x:v>
      </x:c>
      <x:c r="V144" t="n">
        <x:v>2378.1852286677376</x:v>
      </x:c>
      <x:c r="W144" t="n">
        <x:v>152.75155586780198</x:v>
      </x:c>
      <x:c r="X144" t="n">
        <x:v>28.664062443880567</x:v>
      </x:c>
      <x:c r="Y144" t="n">
        <x:v>1.2292318712125154</x:v>
      </x:c>
      <x:c r="Z144" t="n">
        <x:v>0</x:v>
      </x:c>
      <x:c r="AA144" t="n">
        <x:v>27.43483057266805</x:v>
      </x:c>
      <x:c r="AB144" t="n">
        <x:v>13.51512110794561</x:v>
      </x:c>
      <x:c r="AC144" t="n">
        <x:v>27.43483057266805</x:v>
      </x:c>
    </x:row>
    <x:row r="145">
      <x:c r="A145" t="n">
        <x:v>2169</x:v>
      </x:c>
      <x:c r="B145" t="n">
        <x:v>280</x:v>
      </x:c>
      <x:c r="C145" t="n">
        <x:v>1.5</x:v>
      </x:c>
      <x:c r="D145" t="n">
        <x:v>6.132706690148363</x:v>
      </x:c>
      <x:c r="E145" t="n">
        <x:v>0.8653712504645293</x:v>
      </x:c>
      <x:c r="F145" t="n">
        <x:v>0.032489650463260085</x:v>
      </x:c>
      <x:c r="G145" t="n">
        <x:v>0.00505394562761823</x:v>
      </x:c>
      <x:c r="H145" t="n">
        <x:v>1863.7156835894734</x:v>
      </x:c>
      <x:c r="I145" s="30" t="b">
        <x:v>0</x:v>
      </x:c>
      <x:c r="J145" t="n">
        <x:v>0.740631033770691</x:v>
      </x:c>
      <x:c r="K145" t="n">
        <x:v>0.8358501562355152</x:v>
      </x:c>
      <x:c r="L145" t="n">
        <x:v>1371.02594997667</x:v>
      </x:c>
      <x:c r="M145" t="n">
        <x:v>331.33766943376327</x:v>
      </x:c>
      <x:c r="N145" t="n">
        <x:v>0.03836861306161274</x:v>
      </x:c>
      <x:c r="O145" t="n">
        <x:v>0.7862938027427189</x:v>
      </x:c>
      <x:c r="P145" t="n">
        <x:v>0.00019949103031879095</x:v>
      </x:c>
      <x:c r="Q145" t="n">
        <x:v>8.171304570971746</x:v>
      </x:c>
      <x:c r="R145" t="n">
        <x:v>2310.3070747838437</x:v>
      </x:c>
      <x:c r="S145" t="n">
        <x:v>1355.861770496335</x:v>
      </x:c>
      <x:c r="T145" t="n">
        <x:v>72.57454545327383</x:v>
      </x:c>
      <x:c r="U145" t="n">
        <x:v>1.211624505205696</x:v>
      </x:c>
      <x:c r="V145" t="n">
        <x:v>2449.548149615806</x:v>
      </x:c>
      <x:c r="W145" t="n">
        <x:v>156.95541404251105</x:v>
      </x:c>
      <x:c r="X145" t="n">
        <x:v>29.01544188862157</x:v>
      </x:c>
      <x:c r="Y145" t="n">
        <x:v>1.211624505205696</x:v>
      </x:c>
      <x:c r="Z145" t="n">
        <x:v>0</x:v>
      </x:c>
      <x:c r="AA145" t="n">
        <x:v>27.803817383415875</x:v>
      </x:c>
      <x:c r="AB145" t="n">
        <x:v>13.51512110794561</x:v>
      </x:c>
      <x:c r="AC145" t="n">
        <x:v>27.803817383415875</x:v>
      </x:c>
    </x:row>
    <x:row r="146">
      <x:c r="A146" t="n">
        <x:v>2170</x:v>
      </x:c>
      <x:c r="B146" t="n">
        <x:v>280</x:v>
      </x:c>
      <x:c r="C146" t="n">
        <x:v>1.5</x:v>
      </x:c>
      <x:c r="D146" t="n">
        <x:v>6.051875232730578</x:v>
      </x:c>
      <x:c r="E146" t="n">
        <x:v>0.8656550797708444</x:v>
      </x:c>
      <x:c r="F146" t="n">
        <x:v>0.03184631228028773</x:v>
      </x:c>
      <x:c r="G146" t="n">
        <x:v>0.004953870799155866</x:v>
      </x:c>
      <x:c r="H146" t="n">
        <x:v>1868.9019037424332</x:v>
      </x:c>
      <x:c r="I146" s="30" t="b">
        <x:v>0</x:v>
      </x:c>
      <x:c r="J146" t="n">
        <x:v>0.7403052963097889</x:v>
      </x:c>
      <x:c r="K146" t="n">
        <x:v>0.8351954340791746</x:v>
      </x:c>
      <x:c r="L146" t="n">
        <x:v>1371.0226316599067</x:v>
      </x:c>
      <x:c r="M146" t="n">
        <x:v>331.3096453708323</x:v>
      </x:c>
      <x:c r="N146" t="n">
        <x:v>0.03836861306161274</x:v>
      </x:c>
      <x:c r="O146" t="n">
        <x:v>0.7861998142623208</x:v>
      </x:c>
      <x:c r="P146" t="n">
        <x:v>0.00019554287597474266</x:v>
      </x:c>
      <x:c r="Q146" t="n">
        <x:v>8.171276293570887</x:v>
      </x:c>
      <x:c r="R146" t="n">
        <x:v>2310.0831164051538</x:v>
      </x:c>
      <x:c r="S146" t="n">
        <x:v>1372.442091805216</x:v>
      </x:c>
      <x:c r="T146" t="n">
        <x:v>73.94575835118872</x:v>
      </x:c>
      <x:c r="U146" t="n">
        <x:v>1.195127868843887</x:v>
      </x:c>
      <x:c r="V146" t="n">
        <x:v>2522.298780098151</x:v>
      </x:c>
      <x:c r="W146" t="n">
        <x:v>161.15698814670912</x:v>
      </x:c>
      <x:c r="X146" t="n">
        <x:v>29.37026076463162</x:v>
      </x:c>
      <x:c r="Y146" t="n">
        <x:v>1.195127868843887</x:v>
      </x:c>
      <x:c r="Z146" t="n">
        <x:v>0</x:v>
      </x:c>
      <x:c r="AA146" t="n">
        <x:v>28.175132895787733</x:v>
      </x:c>
      <x:c r="AB146" t="n">
        <x:v>13.51512110794561</x:v>
      </x:c>
      <x:c r="AC146" t="n">
        <x:v>28.175132895787733</x:v>
      </x:c>
    </x:row>
    <x:row r="147">
      <x:c r="A147" t="n">
        <x:v>2171</x:v>
      </x:c>
      <x:c r="B147" t="n">
        <x:v>280</x:v>
      </x:c>
      <x:c r="C147" t="n">
        <x:v>1.5</x:v>
      </x:c>
      <x:c r="D147" t="n">
        <x:v>5.975712342430896</x:v>
      </x:c>
      <x:c r="E147" t="n">
        <x:v>0.8658920388722829</x:v>
      </x:c>
      <x:c r="F147" t="n">
        <x:v>0.03121571304685067</x:v>
      </x:c>
      <x:c r="G147" t="n">
        <x:v>0.004855777585065655</x:v>
      </x:c>
      <x:c r="H147" t="n">
        <x:v>1874.011724045992</x:v>
      </x:c>
      <x:c r="I147" s="30" t="b">
        <x:v>0</x:v>
      </x:c>
      <x:c r="J147" t="n">
        <x:v>0.7399795201064252</x:v>
      </x:c>
      <x:c r="K147" t="n">
        <x:v>0.8345429701396231</x:v>
      </x:c>
      <x:c r="L147" t="n">
        <x:v>1371.0195945564283</x:v>
      </x:c>
      <x:c r="M147" t="n">
        <x:v>331.28187840939614</x:v>
      </x:c>
      <x:c r="N147" t="n">
        <x:v>0.03836861306161274</x:v>
      </x:c>
      <x:c r="O147" t="n">
        <x:v>0.7861068061126759</x:v>
      </x:c>
      <x:c r="P147" t="n">
        <x:v>0.00019167273819500525</x:v>
      </x:c>
      <x:c r="Q147" t="n">
        <x:v>8.17124894947103</x:v>
      </x:c>
      <x:c r="R147" t="n">
        <x:v>2309.866572867232</x:v>
      </x:c>
      <x:c r="S147" t="n">
        <x:v>1389.1846562099588</x:v>
      </x:c>
      <x:c r="T147" t="n">
        <x:v>75.33593663590675</x:v>
      </x:c>
      <x:c r="U147" t="n">
        <x:v>1.1795938638474013</x:v>
      </x:c>
      <x:c r="V147" t="n">
        <x:v>2596.4551228702103</x:v>
      </x:c>
      <x:c r="W147" t="n">
        <x:v>165.35577083318037</x:v>
      </x:c>
      <x:c r="X147" t="n">
        <x:v>29.728551642893116</x:v>
      </x:c>
      <x:c r="Y147" t="n">
        <x:v>1.1795938638474013</x:v>
      </x:c>
      <x:c r="Z147" t="n">
        <x:v>0</x:v>
      </x:c>
      <x:c r="AA147" t="n">
        <x:v>28.548957779045715</x:v>
      </x:c>
      <x:c r="AB147" t="n">
        <x:v>13.51512110794561</x:v>
      </x:c>
      <x:c r="AC147" t="n">
        <x:v>28.548957779045715</x:v>
      </x:c>
    </x:row>
    <x:row r="148">
      <x:c r="A148" t="n">
        <x:v>2172</x:v>
      </x:c>
      <x:c r="B148" t="n">
        <x:v>280</x:v>
      </x:c>
      <x:c r="C148" t="n">
        <x:v>1.5</x:v>
      </x:c>
      <x:c r="D148" t="n">
        <x:v>5.903612796550623</x:v>
      </x:c>
      <x:c r="E148" t="n">
        <x:v>0.8660850901677913</x:v>
      </x:c>
      <x:c r="F148" t="n">
        <x:v>0.030597600514847393</x:v>
      </x:c>
      <x:c r="G148" t="n">
        <x:v>0.004759626746754035</x:v>
      </x:c>
      <x:c r="H148" t="n">
        <x:v>1879.0492517523746</x:v>
      </x:c>
      <x:c r="I148" s="30" t="b">
        <x:v>0</x:v>
      </x:c>
      <x:c r="J148" t="n">
        <x:v>0.7396540914227956</x:v>
      </x:c>
      <x:c r="K148" t="n">
        <x:v>0.8338927499319853</x:v>
      </x:c>
      <x:c r="L148" t="n">
        <x:v>1371.0168148346006</x:v>
      </x:c>
      <x:c r="M148" t="n">
        <x:v>331.2543661907255</x:v>
      </x:c>
      <x:c r="N148" t="n">
        <x:v>0.03836861306161274</x:v>
      </x:c>
      <x:c r="O148" t="n">
        <x:v>0.7860147590392066</x:v>
      </x:c>
      <x:c r="P148" t="n">
        <x:v>0.00018787908520137</x:v>
      </x:c>
      <x:c r="Q148" t="n">
        <x:v>8.17122251692898</x:v>
      </x:c>
      <x:c r="R148" t="n">
        <x:v>2309.6572696843605</x:v>
      </x:c>
      <x:c r="S148" t="n">
        <x:v>1406.0910024271802</x:v>
      </x:c>
      <x:c r="T148" t="n">
        <x:v>76.7452695312283</x:v>
      </x:c>
      <x:c r="U148" t="n">
        <x:v>1.1648974781782204</x:v>
      </x:c>
      <x:c r="V148" t="n">
        <x:v>2672.0354949232606</x:v>
      </x:c>
      <x:c r="W148" t="n">
        <x:v>169.55127298537982</x:v>
      </x:c>
      <x:c r="X148" t="n">
        <x:v>30.090347451941657</x:v>
      </x:c>
      <x:c r="Y148" t="n">
        <x:v>1.1648974781782204</x:v>
      </x:c>
      <x:c r="Z148" t="n">
        <x:v>0</x:v>
      </x:c>
      <x:c r="AA148" t="n">
        <x:v>28.925449973763435</x:v>
      </x:c>
      <x:c r="AB148" t="n">
        <x:v>13.51512110794561</x:v>
      </x:c>
      <x:c r="AC148" t="n">
        <x:v>28.925449973763435</x:v>
      </x:c>
    </x:row>
    <x:row r="149">
      <x:c r="A149" t="n">
        <x:v>2173</x:v>
      </x:c>
      <x:c r="B149" t="n">
        <x:v>280</x:v>
      </x:c>
      <x:c r="C149" t="n">
        <x:v>1.5</x:v>
      </x:c>
      <x:c r="D149" t="n">
        <x:v>5.835064607258745</x:v>
      </x:c>
      <x:c r="E149" t="n">
        <x:v>0.8662368243225845</x:v>
      </x:c>
      <x:c r="F149" t="n">
        <x:v>0.029991727431023504</x:v>
      </x:c>
      <x:c r="G149" t="n">
        <x:v>0.004665379822603653</x:v>
      </x:c>
      <x:c r="H149" t="n">
        <x:v>1884.0180795353108</x:v>
      </x:c>
      <x:c r="I149" s="30" t="b">
        <x:v>0</x:v>
      </x:c>
      <x:c r="J149" t="n">
        <x:v>0.7393292922212836</x:v>
      </x:c>
      <x:c r="K149" t="n">
        <x:v>0.8332447613759617</x:v>
      </x:c>
      <x:c r="L149" t="n">
        <x:v>1371.0142706824195</x:v>
      </x:c>
      <x:c r="M149" t="n">
        <x:v>331.22710637773065</x:v>
      </x:c>
      <x:c r="N149" t="n">
        <x:v>0.03836861306161274</x:v>
      </x:c>
      <x:c r="O149" t="n">
        <x:v>0.7859236548381519</x:v>
      </x:c>
      <x:c r="P149" t="n">
        <x:v>0.0001841604144932625</x:v>
      </x:c>
      <x:c r="Q149" t="n">
        <x:v>8.17119697227951</x:v>
      </x:c>
      <x:c r="R149" t="n">
        <x:v>2309.4550173006105</x:v>
      </x:c>
      <x:c r="S149" t="n">
        <x:v>1423.1626860344923</x:v>
      </x:c>
      <x:c r="T149" t="n">
        <x:v>78.17394780729298</x:v>
      </x:c>
      <x:c r="U149" t="n">
        <x:v>1.1509330968520173</x:v>
      </x:c>
      <x:c r="V149" t="n">
        <x:v>2749.0585096337013</x:v>
      </x:c>
      <x:c r="W149" t="n">
        <x:v>173.74302193393586</x:v>
      </x:c>
      <x:c r="X149" t="n">
        <x:v>30.455681481138132</x:v>
      </x:c>
      <x:c r="Y149" t="n">
        <x:v>1.1509330968520173</x:v>
      </x:c>
      <x:c r="Z149" t="n">
        <x:v>0</x:v>
      </x:c>
      <x:c r="AA149" t="n">
        <x:v>29.304748384286114</x:v>
      </x:c>
      <x:c r="AB149" t="n">
        <x:v>13.51512110794561</x:v>
      </x:c>
      <x:c r="AC149" t="n">
        <x:v>29.304748384286114</x:v>
      </x:c>
    </x:row>
    <x:row r="150">
      <x:c r="A150" t="n">
        <x:v>2174</x:v>
      </x:c>
      <x:c r="B150" t="n">
        <x:v>280</x:v>
      </x:c>
      <x:c r="C150" t="n">
        <x:v>1.5</x:v>
      </x:c>
      <x:c r="D150" t="n">
        <x:v>5.769634359376017</x:v>
      </x:c>
      <x:c r="E150" t="n">
        <x:v>0.8663495171743701</x:v>
      </x:c>
      <x:c r="F150" t="n">
        <x:v>0.029397851438067057</x:v>
      </x:c>
      <x:c r="G150" t="n">
        <x:v>0.004572999112588206</x:v>
      </x:c>
      <x:c r="H150" t="n">
        <x:v>1888.9213643775124</x:v>
      </x:c>
      <x:c r="I150" s="30" t="b">
        <x:v>0</x:v>
      </x:c>
      <x:c r="J150" t="n">
        <x:v>0.7390053276416563</x:v>
      </x:c>
      <x:c r="K150" t="n">
        <x:v>0.832598994154601</x:v>
      </x:c>
      <x:c r="L150" t="n">
        <x:v>1371.0119421363554</x:v>
      </x:c>
      <x:c r="M150" t="n">
        <x:v>331.2000966547633</x:v>
      </x:c>
      <x:c r="N150" t="n">
        <x:v>0.03836861306161274</x:v>
      </x:c>
      <x:c r="O150" t="n">
        <x:v>0.7858334762727688</x:v>
      </x:c>
      <x:c r="P150" t="n">
        <x:v>0.0001805152523489181</x:v>
      </x:c>
      <x:c r="Q150" t="n">
        <x:v>8.171172290485158</x:v>
      </x:c>
      <x:c r="R150" t="n">
        <x:v>2309.259615443549</x:v>
      </x:c>
      <x:c r="S150" t="n">
        <x:v>1440.4012796248658</x:v>
      </x:c>
      <x:c r="T150" t="n">
        <x:v>79.6221637928804</x:v>
      </x:c>
      <x:c r="U150" t="n">
        <x:v>1.1376114096713636</x:v>
      </x:c>
      <x:c r="V150" t="n">
        <x:v>2827.5430620169104</x:v>
      </x:c>
      <x:c r="W150" t="n">
        <x:v>177.9305599713093</x:v>
      </x:c>
      <x:c r="X150" t="n">
        <x:v>30.824587383972126</x:v>
      </x:c>
      <x:c r="Y150" t="n">
        <x:v>1.1376114096713636</x:v>
      </x:c>
      <x:c r="Z150" t="n">
        <x:v>0</x:v>
      </x:c>
      <x:c r="AA150" t="n">
        <x:v>29.68697597430076</x:v>
      </x:c>
      <x:c r="AB150" t="n">
        <x:v>13.51512110794561</x:v>
      </x:c>
      <x:c r="AC150" t="n">
        <x:v>29.68697597430076</x:v>
      </x:c>
    </x:row>
    <x:row r="151">
      <x:c r="A151" t="n">
        <x:v>2175</x:v>
      </x:c>
      <x:c r="B151" t="n">
        <x:v>280</x:v>
      </x:c>
      <x:c r="C151" t="n">
        <x:v>1.5</x:v>
      </x:c>
      <x:c r="D151" t="n">
        <x:v>5.7069548591009305</x:v>
      </x:c>
      <x:c r="E151" t="n">
        <x:v>0.8664251776971204</x:v>
      </x:c>
      <x:c r="F151" t="n">
        <x:v>0.028815734977662415</x:v>
      </x:c>
      <x:c r="G151" t="n">
        <x:v>0.004482447663191929</x:v>
      </x:c>
      <x:c r="H151" t="n">
        <x:v>1893.7618940589164</x:v>
      </x:c>
      <x:c r="I151" s="30" t="b">
        <x:v>0</x:v>
      </x:c>
      <x:c r="J151" t="n">
        <x:v>0.738682346260854</x:v>
      </x:c>
      <x:c r="K151" t="n">
        <x:v>0.8319554392421243</x:v>
      </x:c>
      <x:c r="L151" t="n">
        <x:v>1371.0098109247035</x:v>
      </x:c>
      <x:c r="M151" t="n">
        <x:v>331.1733347274195</x:v>
      </x:c>
      <x:c r="N151" t="n">
        <x:v>0.03836861306161274</x:v>
      </x:c>
      <x:c r="O151" t="n">
        <x:v>0.785744206996585</x:v>
      </x:c>
      <x:c r="P151" t="n">
        <x:v>0.00017694215333842925</x:v>
      </x:c>
      <x:c r="Q151" t="n">
        <x:v>8.17114844558773</x:v>
      </x:c>
      <x:c r="R151" t="n">
        <x:v>2309.070856696763</x:v>
      </x:c>
      <x:c r="S151" t="n">
        <x:v>1457.8083729624786</x:v>
      </x:c>
      <x:c r="T151" t="n">
        <x:v>81.09011138791637</x:v>
      </x:c>
      <x:c r="U151" t="n">
        <x:v>1.124856817475994</x:v>
      </x:c>
      <x:c r="V151" t="n">
        <x:v>2907.5083165873507</x:v>
      </x:c>
      <x:c r="W151" t="n">
        <x:v>182.1134431119278</x:v>
      </x:c>
      <x:c r="X151" t="n">
        <x:v>31.197099181397043</x:v>
      </x:c>
      <x:c r="Y151" t="n">
        <x:v>1.124856817475994</x:v>
      </x:c>
      <x:c r="Z151" t="n">
        <x:v>0</x:v>
      </x:c>
      <x:c r="AA151" t="n">
        <x:v>30.07224236392105</x:v>
      </x:c>
      <x:c r="AB151" t="n">
        <x:v>13.51512110794561</x:v>
      </x:c>
      <x:c r="AC151" t="n">
        <x:v>30.07224236392105</x:v>
      </x:c>
    </x:row>
    <x:row r="152">
      <x:c r="A152" t="n">
        <x:v>2176</x:v>
      </x:c>
      <x:c r="B152" t="n">
        <x:v>280</x:v>
      </x:c>
      <x:c r="C152" t="n">
        <x:v>1.5</x:v>
      </x:c>
      <x:c r="D152" t="n">
        <x:v>5.6467147293584405</x:v>
      </x:c>
      <x:c r="E152" t="n">
        <x:v>0.8664655884317161</x:v>
      </x:c>
      <x:c r="F152" t="n">
        <x:v>0.028245145195463763</x:v>
      </x:c>
      <x:c r="G152" t="n">
        <x:v>0.004393689252627693</x:v>
      </x:c>
      <x:c r="H152" t="n">
        <x:v>1898.5421431998432</x:v>
      </x:c>
      <x:c r="I152" s="30" t="b">
        <x:v>0</x:v>
      </x:c>
      <x:c r="J152" t="n">
        <x:v>0.7383604550295797</x:v>
      </x:c>
      <x:c r="K152" t="n">
        <x:v>0.8313140885563863</x:v>
      </x:c>
      <x:c r="L152" t="n">
        <x:v>1371.0078603242084</x:v>
      </x:c>
      <x:c r="M152" t="n">
        <x:v>331.1468183223449</x:v>
      </x:c>
      <x:c r="N152" t="n">
        <x:v>0.03836861306161274</x:v>
      </x:c>
      <x:c r="O152" t="n">
        <x:v>0.7856558314831095</x:v>
      </x:c>
      <x:c r="P152" t="n">
        <x:v>0.00017343969983202738</x:v>
      </x:c>
      <x:c r="Q152" t="n">
        <x:v>8.171125411077506</x:v>
      </x:c>
      <x:c r="R152" t="n">
        <x:v>2308.8885294189545</x:v>
      </x:c>
      <x:c r="S152" t="n">
        <x:v>1475.3855731400718</x:v>
      </x:c>
      <x:c r="T152" t="n">
        <x:v>82.57798607618327</x:v>
      </x:c>
      <x:c r="U152" t="n">
        <x:v>1.1126052552726509</x:v>
      </x:c>
      <x:c r="V152" t="n">
        <x:v>2988.973697408261</x:v>
      </x:c>
      <x:c r="W152" t="n">
        <x:v>186.2912400545286</x:v>
      </x:c>
      <x:c r="X152" t="n">
        <x:v>31.573251265197534</x:v>
      </x:c>
      <x:c r="Y152" t="n">
        <x:v>1.1126052552726509</x:v>
      </x:c>
      <x:c r="Z152" t="n">
        <x:v>0</x:v>
      </x:c>
      <x:c r="AA152" t="n">
        <x:v>30.460646009924883</x:v>
      </x:c>
      <x:c r="AB152" t="n">
        <x:v>13.51512110794561</x:v>
      </x:c>
      <x:c r="AC152" t="n">
        <x:v>30.460646009924883</x:v>
      </x:c>
    </x:row>
    <x:row r="153">
      <x:c r="A153" t="n">
        <x:v>2177</x:v>
      </x:c>
      <x:c r="B153" t="n">
        <x:v>280</x:v>
      </x:c>
      <x:c r="C153" t="n">
        <x:v>1.5</x:v>
      </x:c>
      <x:c r="D153" t="n">
        <x:v>5.588649644888375</x:v>
      </x:c>
      <x:c r="E153" t="n">
        <x:v>0.8664723395706088</x:v>
      </x:c>
      <x:c r="F153" t="n">
        <x:v>0.02768585384795025</x:v>
      </x:c>
      <x:c r="G153" t="n">
        <x:v>0.004306688376347814</x:v>
      </x:c>
      <x:c r="H153" t="n">
        <x:v>1903.2643205051606</x:v>
      </x:c>
      <x:c r="I153" s="30" t="b">
        <x:v>0</x:v>
      </x:c>
      <x:c r="J153" t="n">
        <x:v>0.7380397302828808</x:v>
      </x:c>
      <x:c r="K153" t="n">
        <x:v>0.8306749347032177</x:v>
      </x:c>
      <x:c r="L153" t="n">
        <x:v>1371.00607502884</x:v>
      </x:c>
      <x:c r="M153" t="n">
        <x:v>331.12054518704167</x:v>
      </x:c>
      <x:c r="N153" t="n">
        <x:v>0.03836861306161274</x:v>
      </x:c>
      <x:c r="O153" t="n">
        <x:v>0.7855683349614531</x:v>
      </x:c>
      <x:c r="P153" t="n">
        <x:v>0.00017000650152023737</x:v>
      </x:c>
      <x:c r="Q153" t="n">
        <x:v>8.171103160193688</x:v>
      </x:c>
      <x:c r="R153" t="n">
        <x:v>2308.712420117</x:v>
      </x:c>
      <x:c r="S153" t="n">
        <x:v>1493.1345047378343</x:v>
      </x:c>
      <x:c r="T153" t="n">
        <x:v>84.08598493823578</x:v>
      </x:c>
      <x:c r="U153" t="n">
        <x:v>1.1008023643500016</x:v>
      </x:c>
      <x:c r="V153" t="n">
        <x:v>3071.9588799821468</x:v>
      </x:c>
      <x:c r="W153" t="n">
        <x:v>190.4635313111452</x:v>
      </x:c>
      <x:c r="X153" t="n">
        <x:v>31.953078401389654</x:v>
      </x:c>
      <x:c r="Y153" t="n">
        <x:v>1.1008023643500016</x:v>
      </x:c>
      <x:c r="Z153" t="n">
        <x:v>0</x:v>
      </x:c>
      <x:c r="AA153" t="n">
        <x:v>30.85227603703965</x:v>
      </x:c>
      <x:c r="AB153" t="n">
        <x:v>13.51512110794561</x:v>
      </x:c>
      <x:c r="AC153" t="n">
        <x:v>30.85227603703965</x:v>
      </x:c>
    </x:row>
    <x:row r="154">
      <x:c r="A154" t="n">
        <x:v>2178</x:v>
      </x:c>
      <x:c r="B154" t="n">
        <x:v>280</x:v>
      </x:c>
      <x:c r="C154" t="n">
        <x:v>1.5</x:v>
      </x:c>
      <x:c r="D154" t="n">
        <x:v>5.532534948572033</x:v>
      </x:c>
      <x:c r="E154" t="n">
        <x:v>0.866446857696496</x:v>
      </x:c>
      <x:c r="F154" t="n">
        <x:v>0.02713763721112556</x:v>
      </x:c>
      <x:c r="G154" t="n">
        <x:v>0.004221410232841751</x:v>
      </x:c>
      <x:c r="H154" t="n">
        <x:v>1907.9304085960362</x:v>
      </x:c>
      <x:c r="I154" s="30" t="b">
        <x:v>0</x:v>
      </x:c>
      <x:c r="J154" t="n">
        <x:v>0.7377202258553287</x:v>
      </x:c>
      <x:c r="K154" t="n">
        <x:v>0.83003797078849</x:v>
      </x:c>
      <x:c r="L154" t="n">
        <x:v>1371.0044410296894</x:v>
      </x:c>
      <x:c r="M154" t="n">
        <x:v>331.094513089677</x:v>
      </x:c>
      <x:c r="N154" t="n">
        <x:v>0.03836861306161274</x:v>
      </x:c>
      <x:c r="O154" t="n">
        <x:v>0.7854817033573602</x:v>
      </x:c>
      <x:c r="P154" t="n">
        <x:v>0.00016664119492926783</x:v>
      </x:c>
      <x:c r="Q154" t="n">
        <x:v>8.171081666167362</x:v>
      </x:c>
      <x:c r="R154" t="n">
        <x:v>2308.5423153632078</x:v>
      </x:c>
      <x:c r="S154" t="n">
        <x:v>1511.0568099838415</x:v>
      </x:c>
      <x:c r="T154" t="n">
        <x:v>85.61430666452446</x:v>
      </x:c>
      <x:c r="U154" t="n">
        <x:v>1.0894019567999447</x:v>
      </x:c>
      <x:c r="V154" t="n">
        <x:v>3156.4837846898713</x:v>
      </x:c>
      <x:c r="W154" t="n">
        <x:v>194.6299084734872</x:v>
      </x:c>
      <x:c r="X154" t="n">
        <x:v>32.336615733654206</x:v>
      </x:c>
      <x:c r="Y154" t="n">
        <x:v>1.0894019567999447</x:v>
      </x:c>
      <x:c r="Z154" t="n">
        <x:v>0</x:v>
      </x:c>
      <x:c r="AA154" t="n">
        <x:v>31.24721377685426</x:v>
      </x:c>
      <x:c r="AB154" t="n">
        <x:v>13.51512110794561</x:v>
      </x:c>
      <x:c r="AC154" t="n">
        <x:v>31.24721377685426</x:v>
      </x:c>
    </x:row>
    <x:row r="155">
      <x:c r="A155" t="n">
        <x:v>2179</x:v>
      </x:c>
      <x:c r="B155" t="n">
        <x:v>280</x:v>
      </x:c>
      <x:c r="C155" t="n">
        <x:v>1.5</x:v>
      </x:c>
      <x:c r="D155" t="n">
        <x:v>5.4781794312488294</x:v>
      </x:c>
      <x:c r="E155" t="n">
        <x:v>0.8663904300173579</x:v>
      </x:c>
      <x:c r="F155" t="n">
        <x:v>0.026600275991025307</x:v>
      </x:c>
      <x:c r="G155" t="n">
        <x:v>0.004137820709715046</x:v>
      </x:c>
      <x:c r="H155" t="n">
        <x:v>1912.5421975972677</x:v>
      </x:c>
      <x:c r="I155" s="30" t="b">
        <x:v>0</x:v>
      </x:c>
      <x:c r="J155" t="n">
        <x:v>0.7374019790609555</x:v>
      </x:c>
      <x:c r="K155" t="n">
        <x:v>0.8294031902800862</x:v>
      </x:c>
      <x:c r="L155" t="n">
        <x:v>1371.002945505043</x:v>
      </x:c>
      <x:c r="M155" t="n">
        <x:v>331.0687198188936</x:v>
      </x:c>
      <x:c r="N155" t="n">
        <x:v>0.03836861306161274</x:v>
      </x:c>
      <x:c r="O155" t="n">
        <x:v>0.7853959232391878</x:v>
      </x:c>
      <x:c r="P155" t="n">
        <x:v>0.000163342442949463</x:v>
      </x:c>
      <x:c r="Q155" t="n">
        <x:v>8.171060902416587</x:v>
      </x:c>
      <x:c r="R155" t="n">
        <x:v>2308.378003332597</x:v>
      </x:c>
      <x:c r="S155" t="n">
        <x:v>1529.154148916068</x:v>
      </x:c>
      <x:c r="T155" t="n">
        <x:v>87.16315156873247</x:v>
      </x:c>
      <x:c r="U155" t="n">
        <x:v>1.0783647252184838</x:v>
      </x:c>
      <x:c r="V155" t="n">
        <x:v>3242.5685715333852</x:v>
      </x:c>
      <x:c r="W155" t="n">
        <x:v>198.78997359264105</x:v>
      </x:c>
      <x:c r="X155" t="n">
        <x:v>32.72389878680385</x:v>
      </x:c>
      <x:c r="Y155" t="n">
        <x:v>1.0783647252184838</x:v>
      </x:c>
      <x:c r="Z155" t="n">
        <x:v>0</x:v>
      </x:c>
      <x:c r="AA155" t="n">
        <x:v>31.645534061585366</x:v>
      </x:c>
      <x:c r="AB155" t="n">
        <x:v>13.51512110794561</x:v>
      </x:c>
      <x:c r="AC155" t="n">
        <x:v>31.645534061585366</x:v>
      </x:c>
    </x:row>
    <x:row r="156">
      <x:c r="A156" t="n">
        <x:v>2180</x:v>
      </x:c>
      <x:c r="B156" t="n">
        <x:v>280</x:v>
      </x:c>
      <x:c r="C156" t="n">
        <x:v>1.5</x:v>
      </x:c>
      <x:c r="D156" t="n">
        <x:v>5.425420091603641</x:v>
      </x:c>
      <x:c r="E156" t="n">
        <x:v>0.8663042248074175</x:v>
      </x:c>
      <x:c r="F156" t="n">
        <x:v>0.02607355523599654</x:v>
      </x:c>
      <x:c r="G156" t="n">
        <x:v>0.004055886370043904</x:v>
      </x:c>
      <x:c r="H156" t="n">
        <x:v>1917.1013134640639</x:v>
      </x:c>
      <x:c r="I156" s="30" t="b">
        <x:v>0</x:v>
      </x:c>
      <x:c r="J156" t="n">
        <x:v>0.7370850150986495</x:v>
      </x:c>
      <x:c r="K156" t="n">
        <x:v>0.8287705869066401</x:v>
      </x:c>
      <x:c r="L156" t="n">
        <x:v>1371.0015767197735</x:v>
      </x:c>
      <x:c r="M156" t="n">
        <x:v>331.043163183622</x:v>
      </x:c>
      <x:c r="N156" t="n">
        <x:v>0.03836861306161274</x:v>
      </x:c>
      <x:c r="O156" t="n">
        <x:v>0.7853109817684238</x:v>
      </x:c>
      <x:c r="P156" t="n">
        <x:v>0.00016010893436255625</x:v>
      </x:c>
      <x:c r="Q156" t="n">
        <x:v>8.17104084270151</x:v>
      </x:c>
      <x:c r="R156" t="n">
        <x:v>2308.219275023869</x:v>
      </x:c>
      <x:c r="S156" t="n">
        <x:v>1547.4281995459978</x:v>
      </x:c>
      <x:c r="T156" t="n">
        <x:v>88.73272160133003</x:v>
      </x:c>
      <x:c r="U156" t="n">
        <x:v>1.0676571581118772</x:v>
      </x:c>
      <x:c r="V156" t="n">
        <x:v>3330.233635976603</x:v>
      </x:c>
      <x:c r="W156" t="n">
        <x:v>202.94333865227364</x:v>
      </x:c>
      <x:c r="X156" t="n">
        <x:v>33.11496347028435</x:v>
      </x:c>
      <x:c r="Y156" t="n">
        <x:v>1.0676571581118772</x:v>
      </x:c>
      <x:c r="Z156" t="n">
        <x:v>0</x:v>
      </x:c>
      <x:c r="AA156" t="n">
        <x:v>32.04730631217247</x:v>
      </x:c>
      <x:c r="AB156" t="n">
        <x:v>13.51512110794561</x:v>
      </x:c>
      <x:c r="AC156" t="n">
        <x:v>32.04730631217247</x:v>
      </x:c>
    </x:row>
    <x:row r="157">
      <x:c r="A157" t="n">
        <x:v>2181</x:v>
      </x:c>
      <x:c r="B157" t="n">
        <x:v>280</x:v>
      </x:c>
      <x:c r="C157" t="n">
        <x:v>1.5</x:v>
      </x:c>
      <x:c r="D157" t="n">
        <x:v>5.374117721622273</x:v>
      </x:c>
      <x:c r="E157" t="n">
        <x:v>0.8661893086517197</x:v>
      </x:c>
      <x:c r="F157" t="n">
        <x:v>0.02555726425071421</x:v>
      </x:c>
      <x:c r="G157" t="n">
        <x:v>0.003975574438999986</x:v>
      </x:c>
      <x:c r="H157" t="n">
        <x:v>1921.6092418770345</x:v>
      </x:c>
      <x:c r="I157" s="30" t="b">
        <x:v>0</x:v>
      </x:c>
      <x:c r="J157" t="n">
        <x:v>0.7367693502965585</x:v>
      </x:c>
      <x:c r="K157" t="n">
        <x:v>0.8281401545833548</x:v>
      </x:c>
      <x:c r="L157" t="n">
        <x:v>1371.0003239332557</x:v>
      </x:c>
      <x:c r="M157" t="n">
        <x:v>331.0178410128942</x:v>
      </x:c>
      <x:c r="N157" t="n">
        <x:v>0.03836861306161274</x:v>
      </x:c>
      <x:c r="O157" t="n">
        <x:v>0.78522686665435</x:v>
      </x:c>
      <x:c r="P157" t="n">
        <x:v>0.00015693938337604443</x:v>
      </x:c>
      <x:c r="Q157" t="n">
        <x:v>8.171021461246356</x:v>
      </x:c>
      <x:c r="R157" t="n">
        <x:v>2308.0659252175096</x:v>
      </x:c>
      <x:c r="S157" t="n">
        <x:v>1565.8806580238563</x:v>
      </x:c>
      <x:c r="T157" t="n">
        <x:v>90.32322036335475</x:v>
      </x:c>
      <x:c r="U157" t="n">
        <x:v>1.0572506279766636</x:v>
      </x:c>
      <x:c r="V157" t="n">
        <x:v>3419.499605711981</x:v>
      </x:c>
      <x:c r="W157" t="n">
        <x:v>207.08962511901586</x:v>
      </x:c>
      <x:c r="X157" t="n">
        <x:v>33.50984608171052</x:v>
      </x:c>
      <x:c r="Y157" t="n">
        <x:v>1.0572506279766636</x:v>
      </x:c>
      <x:c r="Z157" t="n">
        <x:v>0</x:v>
      </x:c>
      <x:c r="AA157" t="n">
        <x:v>32.452595453733856</x:v>
      </x:c>
      <x:c r="AB157" t="n">
        <x:v>13.51512110794561</x:v>
      </x:c>
      <x:c r="AC157" t="n">
        <x:v>32.452595453733856</x:v>
      </x:c>
    </x:row>
    <x:row r="158">
      <x:c r="A158" t="n">
        <x:v>2182</x:v>
      </x:c>
      <x:c r="B158" t="n">
        <x:v>280</x:v>
      </x:c>
      <x:c r="C158" t="n">
        <x:v>1.5</x:v>
      </x:c>
      <x:c r="D158" t="n">
        <x:v>5.324153187470178</x:v>
      </x:c>
      <x:c r="E158" t="n">
        <x:v>0.8660466609978127</x:v>
      </x:c>
      <x:c r="F158" t="n">
        <x:v>0.025051196511900232</x:v>
      </x:c>
      <x:c r="G158" t="n">
        <x:v>0.0038968527907400343</x:v>
      </x:c>
      <x:c r="H158" t="n">
        <x:v>1926.0673484035067</x:v>
      </x:c>
      <x:c r="I158" s="30" t="b">
        <x:v>0</x:v>
      </x:c>
      <x:c r="J158" t="n">
        <x:v>0.7364549945005219</x:v>
      </x:c>
      <x:c r="K158" t="n">
        <x:v>0.8275118873577613</x:v>
      </x:c>
      <x:c r="L158" t="n">
        <x:v>1370.9991773150869</x:v>
      </x:c>
      <x:c r="M158" t="n">
        <x:v>330.99275115565933</x:v>
      </x:c>
      <x:c r="N158" t="n">
        <x:v>0.03836861306161274</x:v>
      </x:c>
      <x:c r="O158" t="n">
        <x:v>0.7851435661125004</x:v>
      </x:c>
      <x:c r="P158" t="n">
        <x:v>0.00015383252916705985</x:v>
      </x:c>
      <x:c r="Q158" t="n">
        <x:v>8.171002732833815</x:v>
      </x:c>
      <x:c r="R158" t="n">
        <x:v>2307.9177532158815</x:v>
      </x:c>
      <x:c r="S158" t="n">
        <x:v>1584.513238805483</x:v>
      </x:c>
      <x:c r="T158" t="n">
        <x:v>91.93485312042563</x:v>
      </x:c>
      <x:c r="U158" t="n">
        <x:v>1.0471206243876994</x:v>
      </x:c>
      <x:c r="V158" t="n">
        <x:v>3510.387338208019</x:v>
      </x:c>
      <x:c r="W158" t="n">
        <x:v>211.22846355657828</x:v>
      </x:c>
      <x:c r="X158" t="n">
        <x:v>33.908583310437336</x:v>
      </x:c>
      <x:c r="Y158" t="n">
        <x:v>1.0471206243876994</x:v>
      </x:c>
      <x:c r="Z158" t="n">
        <x:v>0</x:v>
      </x:c>
      <x:c r="AA158" t="n">
        <x:v>32.861462686049634</x:v>
      </x:c>
      <x:c r="AB158" t="n">
        <x:v>13.51512110794561</x:v>
      </x:c>
      <x:c r="AC158" t="n">
        <x:v>32.861462686049634</x:v>
      </x:c>
    </x:row>
    <x:row r="159">
      <x:c r="A159" t="n">
        <x:v>2183</x:v>
      </x:c>
      <x:c r="B159" t="n">
        <x:v>280</x:v>
      </x:c>
      <x:c r="C159" t="n">
        <x:v>1.5</x:v>
      </x:c>
      <x:c r="D159" t="n">
        <x:v>5.275424296167316</x:v>
      </x:c>
      <x:c r="E159" t="n">
        <x:v>0.8658771864386386</x:v>
      </x:c>
      <x:c r="F159" t="n">
        <x:v>0.024555149585711422</x:v>
      </x:c>
      <x:c r="G159" t="n">
        <x:v>0.003819689935555108</x:v>
      </x:c>
      <x:c r="H159" t="n">
        <x:v>1930.4768955132354</x:v>
      </x:c>
      <x:c r="I159" s="30" t="b">
        <x:v>0</x:v>
      </x:c>
      <x:c r="J159" t="n">
        <x:v>0.736141952831494</x:v>
      </x:c>
      <x:c r="K159" t="n">
        <x:v>0.8268857793701478</x:v>
      </x:c>
      <x:c r="L159" t="n">
        <x:v>1370.9981278679493</x:v>
      </x:c>
      <x:c r="M159" t="n">
        <x:v>330.9678914806009</x:v>
      </x:c>
      <x:c r="N159" t="n">
        <x:v>0.03836861306161274</x:v>
      </x:c>
      <x:c r="O159" t="n">
        <x:v>0.785061068826604</x:v>
      </x:c>
      <x:c r="P159" t="n">
        <x:v>0.00015078713542266816</x:v>
      </x:c>
      <x:c r="Q159" t="n">
        <x:v>8.170984632876657</x:v>
      </x:c>
      <x:c r="R159" t="n">
        <x:v>2307.7745634029134</x:v>
      </x:c>
      <x:c r="S159" t="n">
        <x:v>1603.3276748208696</x:v>
      </x:c>
      <x:c r="T159" t="n">
        <x:v>93.56782681699973</x:v>
      </x:c>
      <x:c r="U159" t="n">
        <x:v>1.0372461089044527</x:v>
      </x:c>
      <x:c r="V159" t="n">
        <x:v>3602.9179189161146</x:v>
      </x:c>
      <x:c r="W159" t="n">
        <x:v>215.35949329251696</x:v>
      </x:c>
      <x:c r="X159" t="n">
        <x:v>34.31121224116661</x:v>
      </x:c>
      <x:c r="Y159" t="n">
        <x:v>1.0372461089044527</x:v>
      </x:c>
      <x:c r="Z159" t="n">
        <x:v>0</x:v>
      </x:c>
      <x:c r="AA159" t="n">
        <x:v>33.27396613226215</x:v>
      </x:c>
      <x:c r="AB159" t="n">
        <x:v>13.51512110794561</x:v>
      </x:c>
      <x:c r="AC159" t="n">
        <x:v>33.27396613226215</x:v>
      </x:c>
    </x:row>
  </x:sheetData>
  <x:mergeCells>
    <x:mergeCell ref="AD1:A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2" hidden="0" customWidth="1"/>
  </x:cols>
  <x:sheetData>
    <x:row r="1">
      <x:c r="A1" s="270" t="str">
        <x:v>Planetary Restoration Model Version 59.1 — Scope-Freeze Maintenance Release</x:v>
      </x:c>
      <x:c r="B1" s="270"/>
    </x:row>
    <x:row r="2">
      <x:c r="A2"/>
      <x:c r="B2"/>
    </x:row>
    <x:row r="3">
      <x:c r="A3" s="288" t="str">
        <x:v>Item</x:v>
      </x:c>
      <x:c r="B3" s="288" t="str">
        <x:v>V59.1 treatment</x:v>
      </x:c>
    </x:row>
    <x:row r="4">
      <x:c r="A4" s="6" t="str">
        <x:v>Scope</x:v>
      </x:c>
      <x:c r="B4" s="6" t="str">
        <x:v>FROZEN. No new modules until external carbon-cycle gates close.</x:v>
      </x:c>
    </x:row>
    <x:row r="5">
      <x:c r="A5" s="6" t="str">
        <x:v>Main paper</x:v>
      </x:c>
      <x:c r="B5" s="6" t="str">
        <x:v>Sink-response curve + inverse solve + financeability; sea-level persistence as consequence.</x:v>
      </x:c>
    </x:row>
    <x:row r="6">
      <x:c r="A6" s="6" t="str">
        <x:v>Sink-response &gt;1</x:v>
      </x:c>
      <x:c r="B6" s="6" t="str">
        <x:v>Explained by continued natural sink uptake in numerator while denominator counts only anthropogenic net removal.</x:v>
      </x:c>
    </x:row>
    <x:row r="7">
      <x:c r="A7" s="6" t="str">
        <x:v>Response uncertainty</x:v>
      </x:c>
      <x:c r="B7" s="6" t="str">
        <x:v>Aggregate percentile-curve envelope available; configuration-level distribution still open.</x:v>
      </x:c>
    </x:row>
    <x:row r="8">
      <x:c r="A8" s="6" t="str">
        <x:v>Sea level</x:v>
      </x:c>
      <x:c r="B8" s="6" t="str">
        <x:v>Paper-facing only through archived FaIR horizon; post-2400 dates excluded.</x:v>
      </x:c>
    </x:row>
    <x:row r="9">
      <x:c r="A9" s="6" t="str">
        <x:v>Sea-level uncertainty</x:v>
      </x:c>
      <x:c r="B9" s="6" t="str">
        <x:v>Three-case emulator under-disperses AR6 2300 range; not calibrated quantiles.</x:v>
      </x:c>
    </x:row>
    <x:row r="10">
      <x:c r="A10" s="202" t="str">
        <x:v>Ocean pH</x:v>
      </x:c>
      <x:c r="B10" s="6" t="str">
        <x:v>Supplementary fixed-T/S screen; publication precision limited to two decimals.</x:v>
      </x:c>
    </x:row>
    <x:row r="11">
      <x:c r="A11" s="202" t="str">
        <x:v>OAE</x:v>
      </x:c>
      <x:c r="B11" s="6" t="str">
        <x:v>Peak pH increment ~0.0018 in 2147; endpoint residue no longer surfaced.</x:v>
      </x:c>
    </x:row>
    <x:row r="12">
      <x:c r="A12" s="202" t="str">
        <x:v>Novelty</x:v>
      </x:c>
      <x:c r="B12" s="6" t="str">
        <x:v>Sink reversal itself is established; novelty must come from inverse burden + financing consequence.</x:v>
      </x:c>
    </x:row>
    <x:row r="13">
      <x:c r="A13" s="202" t="str">
        <x:v>Submission</x:v>
      </x:c>
      <x:c r="B13" s="6" t="str">
        <x:v>NOT READY; critical path unchanged and now explicitly frozen.</x:v>
      </x:c>
    </x:row>
    <x:row r="14">
      <x:c r="A14" s="202"/>
      <x:c r="B14" s="6"/>
    </x:row>
    <x:row r="15">
      <x:c r="A15" s="202"/>
      <x:c r="B15" s="6"/>
    </x:row>
    <x:row r="16">
      <x:c r="A16" s="66"/>
      <x:c r="B16" s="6"/>
    </x:row>
  </x:sheetData>
  <x:mergeCells>
    <x:mergeCell ref="A1:B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94" hidden="0" customWidth="1"/>
  </x:cols>
  <x:sheetData>
    <x:row r="1">
      <x:c r="A1" s="270" t="str">
        <x:v>V59.1 publication readiness — scope frozen</x:v>
      </x:c>
      <x:c r="B1" s="270"/>
      <x:c r="C1" s="270"/>
    </x:row>
    <x:row r="2">
      <x:c r="A2"/>
      <x:c r="B2"/>
      <x:c r="C2"/>
    </x:row>
    <x:row r="3">
      <x:c r="A3" s="288" t="str">
        <x:v>Gate</x:v>
      </x:c>
      <x:c r="B3" s="288" t="str">
        <x:v>Status</x:v>
      </x:c>
      <x:c r="C3" s="288" t="str">
        <x:v>Reason</x:v>
      </x:c>
    </x:row>
    <x:row r="4">
      <x:c r="A4" s="6" t="str">
        <x:v>Archived calibrated FaIR non-return</x:v>
      </x:c>
      <x:c r="B4" s="6" t="str">
        <x:v>COMPLETE</x:v>
      </x:c>
      <x:c r="C4" s="6" t="str">
        <x:v>0/841 reach &lt;=280 ppm by 2400.</x:v>
      </x:c>
    </x:row>
    <x:row r="5">
      <x:c r="A5" s="6" t="str">
        <x:v>Hector comparator</x:v>
      </x:c>
      <x:c r="B5" s="6" t="str">
        <x:v>COMPLETE</x:v>
      </x:c>
      <x:c r="C5" s="6" t="str">
        <x:v>No &lt;=280 by 2300; not OSCAR.</x:v>
      </x:c>
    </x:row>
    <x:row r="6">
      <x:c r="A6" s="6" t="str">
        <x:v>Response &gt;1 caption</x:v>
      </x:c>
      <x:c r="B6" s="6" t="str">
        <x:v>CLOSED</x:v>
      </x:c>
      <x:c r="C6" s="6" t="str">
        <x:v>Natural-sink transient explicitly explained.</x:v>
      </x:c>
    </x:row>
    <x:row r="7">
      <x:c r="A7" s="6" t="str">
        <x:v>Configuration-level response spread</x:v>
      </x:c>
      <x:c r="B7" s="6" t="str">
        <x:v>OPEN</x:v>
      </x:c>
      <x:c r="C7" s="6" t="str">
        <x:v>Archived FaIR contains aggregate percentiles only.</x:v>
      </x:c>
    </x:row>
    <x:row r="8">
      <x:c r="A8" s="6" t="str">
        <x:v>Sea-level persistence screen</x:v>
      </x:c>
      <x:c r="B8" s="6" t="str">
        <x:v>CLOSED AS SCREEN</x:v>
      </x:c>
      <x:c r="C8" s="6" t="str">
        <x:v>Paper-facing through archived FaIR horizon only.</x:v>
      </x:c>
    </x:row>
    <x:row r="9">
      <x:c r="A9" s="6" t="str">
        <x:v>Sea-level calibrated uncertainty</x:v>
      </x:c>
      <x:c r="B9" s="6" t="str">
        <x:v>NOT CLAIMED</x:v>
      </x:c>
      <x:c r="C9" s="6" t="str">
        <x:v>Three-case emulator under-disperses AR6 2300 uncertainty.</x:v>
      </x:c>
    </x:row>
    <x:row r="10">
      <x:c r="A10" s="6" t="str">
        <x:v>Post-2400 sea-level dates</x:v>
      </x:c>
      <x:c r="B10" s="6" t="str">
        <x:v>EXCLUDED</x:v>
      </x:c>
      <x:c r="C10" s="6" t="str">
        <x:v>Paper-excluded experimental diagnostics only.</x:v>
      </x:c>
    </x:row>
    <x:row r="11">
      <x:c r="A11" s="6" t="str">
        <x:v>OAE peak reporting</x:v>
      </x:c>
      <x:c r="B11" s="6" t="str">
        <x:v>CLOSED</x:v>
      </x:c>
      <x:c r="C11" s="6" t="str">
        <x:v>Peak +0.0018 pH in 2147 surfaced; endpoint residue demoted.</x:v>
      </x:c>
    </x:row>
    <x:row r="12">
      <x:c r="A12" s="6" t="str">
        <x:v>Temperature-coupled pH</x:v>
      </x:c>
      <x:c r="B12" s="6" t="str">
        <x:v>OPEN / SUPPLEMENTARY</x:v>
      </x:c>
      <x:c r="C12" s="6" t="str">
        <x:v>Exact threshold years withheld until CO2SYS/PyCO2SYS.</x:v>
      </x:c>
    </x:row>
    <x:row r="13">
      <x:c r="A13" s="6" t="str">
        <x:v>Novelty benchmark</x:v>
      </x:c>
      <x:c r="B13" s="6" t="str">
        <x:v>CLOSED</x:v>
      </x:c>
      <x:c r="C13" s="6" t="str">
        <x:v>Sink reversal and sea-level lag are established; claim boundary narrowed.</x:v>
      </x:c>
    </x:row>
    <x:row r="14">
      <x:c r="A14" s="6" t="str">
        <x:v>Critical external experiments</x:v>
      </x:c>
      <x:c r="B14" s="6" t="str">
        <x:v>OPEN / BLOCKING</x:v>
      </x:c>
      <x:c r="C14" s="6" t="str">
        <x:v>Common-state/zero-non-CO₂ FaIR, inverse solve, OSCAR gate.</x:v>
      </x:c>
    </x:row>
    <x:row r="15">
      <x:c r="A15" s="6"/>
      <x:c r="B15" s="6"/>
      <x:c r="C15" s="6"/>
    </x:row>
    <x:row r="16">
      <x:c r="A16" s="6"/>
      <x:c r="B16" s="6"/>
      <x:c r="C16" s="6"/>
    </x:row>
    <x:row r="17">
      <x:c r="A17" s="6"/>
      <x:c r="B17" s="6"/>
      <x:c r="C17" s="6"/>
    </x:row>
  </x:sheetData>
  <x:mergeCells>
    <x:mergeCell ref="A1:C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74" hidden="0" customWidth="1"/>
  </x:cols>
  <x:sheetData>
    <x:row r="1">
      <x:c r="A1" s="20" t="str">
        <x:v>Independent economics / financing arithmetic replication</x:v>
      </x:c>
      <x:c r="B1" s="20" t="str">
        <x:v>Value</x:v>
      </x:c>
      <x:c r="C1" s="20" t="str">
        <x:v>Interpretation</x:v>
      </x:c>
    </x:row>
    <x:row r="2">
      <x:c r="A2" t="str">
        <x:v>Economic rows checked</x:v>
      </x:c>
      <x:c r="B2" t="n">
        <x:v>158</x:v>
      </x:c>
      <x:c r="C2" t="str">
        <x:v>CSV-only reconstruction; did not import model code.</x:v>
      </x:c>
    </x:row>
    <x:row r="3">
      <x:c r="A3" t="str">
        <x:v>Sources &amp; uses rows checked</x:v>
      </x:c>
      <x:c r="B3" t="n">
        <x:v>158</x:v>
      </x:c>
      <x:c r="C3" t="str">
        <x:v>Same annual horizon.</x:v>
      </x:c>
    </x:row>
    <x:row r="4">
      <x:c r="A4" t="str">
        <x:v>All identities &lt;= 1e-10 USD tn</x:v>
      </x:c>
      <x:c r="B4" s="30" t="b">
        <x:v>1</x:v>
      </x:c>
      <x:c r="C4" t="str">
        <x:v>Floating-point accounting tolerance.</x:v>
      </x:c>
    </x:row>
    <x:row r="5">
      <x:c r="A5" t="str">
        <x:v>Max gross-cost identity error</x:v>
      </x:c>
      <x:c r="B5" t="n">
        <x:v>0</x:v>
      </x:c>
      <x:c r="C5" t="str">
        <x:v>USD tn</x:v>
      </x:c>
    </x:row>
    <x:row r="6">
      <x:c r="A6" t="str">
        <x:v>Max annual-net identity error</x:v>
      </x:c>
      <x:c r="B6" t="n">
        <x:v>1.7763568394002505e-15</x:v>
      </x:c>
      <x:c r="C6" t="str">
        <x:v>USD tn</x:v>
      </x:c>
    </x:row>
    <x:row r="7">
      <x:c r="A7" t="str">
        <x:v>Max cumulative-net identity error</x:v>
      </x:c>
      <x:c r="B7" t="n">
        <x:v>2.842170943040401e-14</x:v>
      </x:c>
      <x:c r="C7" t="str">
        <x:v>USD tn</x:v>
      </x:c>
    </x:row>
    <x:row r="8">
      <x:c r="A8" t="str">
        <x:v>Max PV cumulative identity error</x:v>
      </x:c>
      <x:c r="B8" t="n">
        <x:v>5.684341886080802e-14</x:v>
      </x:c>
      <x:c r="C8" t="str">
        <x:v>USD tn</x:v>
      </x:c>
    </x:row>
    <x:row r="9">
      <x:c r="A9" t="str">
        <x:v>Max settlement-cap identity error</x:v>
      </x:c>
      <x:c r="B9" t="n">
        <x:v>0</x:v>
      </x:c>
      <x:c r="C9" t="str">
        <x:v>USD tn</x:v>
      </x:c>
    </x:row>
    <x:row r="10">
      <x:c r="A10" t="str">
        <x:v>Max bridge-debt recursion error</x:v>
      </x:c>
      <x:c r="B10" t="n">
        <x:v>0</x:v>
      </x:c>
      <x:c r="C10" t="str">
        <x:v>USD tn</x:v>
      </x:c>
    </x:row>
    <x:row r="11">
      <x:c r="A11" t="str">
        <x:v>Avoided damages 2027–2048</x:v>
      </x:c>
      <x:c r="B11" t="n">
        <x:v>-4.7518479121462365</x:v>
      </x:c>
      <x:c r="C11" t="str">
        <x:v>Negative values retained during aerosol-unmasking window.</x:v>
      </x:c>
    </x:row>
    <x:row r="12">
      <x:c r="A12" t="str">
        <x:v>Total bridge interest</x:v>
      </x:c>
      <x:c r="B12" t="n">
        <x:v>3.625355188377395</x:v>
      </x:c>
      <x:c r="C12" t="str">
        <x:v>USD tn</x:v>
      </x:c>
    </x:row>
    <x:row r="13">
      <x:c r="A13" t="str">
        <x:v>Ending bridge debt</x:v>
      </x:c>
      <x:c r="B13" t="n">
        <x:v>0</x:v>
      </x:c>
      <x:c r="C13" t="str">
        <x:v>USD tn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38" hidden="0" customWidth="1"/>
    <x:col min="4" max="4" width="38" hidden="0" customWidth="1"/>
  </x:cols>
  <x:sheetData>
    <x:row r="1">
      <x:c r="A1" s="79" t="str">
        <x:v>module</x:v>
      </x:c>
      <x:c r="B1" s="79" t="str">
        <x:v>source_lineage</x:v>
      </x:c>
      <x:c r="C1" s="79" t="str">
        <x:v>v54_status</x:v>
      </x:c>
      <x:c r="D1" s="79" t="str">
        <x:v>coupling_rule</x:v>
      </x:c>
    </x:row>
    <x:row r="2">
      <x:c r="A2" s="6" t="str">
        <x:v>Seaweed SAF / HTL</x:v>
      </x:c>
      <x:c r="B2" s="6" t="str">
        <x:v>v9/v18/v19</x:v>
      </x:c>
      <x:c r="C2" s="6" t="str">
        <x:v>RESTORED</x:v>
      </x:c>
      <x:c r="D2" s="6" t="str">
        <x:v>RECONCILE_ONLY electricity</x:v>
      </x:c>
    </x:row>
    <x:row r="3">
      <x:c r="A3" s="6" t="str">
        <x:v>Grid seaweed harvester</x:v>
      </x:c>
      <x:c r="B3" s="6" t="str">
        <x:v>v18/v19</x:v>
      </x:c>
      <x:c r="C3" s="6" t="str">
        <x:v>RESTORED</x:v>
      </x:c>
      <x:c r="D3" s="6" t="str">
        <x:v>Physical v19 screen; no raw 3.78x claim</x:v>
      </x:c>
    </x:row>
    <x:row r="4">
      <x:c r="A4" s="6" t="str">
        <x:v>Seaweed human food</x:v>
      </x:c>
      <x:c r="B4" s="6" t="str">
        <x:v>v11</x:v>
      </x:c>
      <x:c r="C4" s="6" t="str">
        <x:v>RESTORED</x:v>
      </x:c>
      <x:c r="D4" s="6" t="str">
        <x:v>Scenario only</x:v>
      </x:c>
    </x:row>
    <x:row r="5">
      <x:c r="A5" s="6" t="str">
        <x:v>Wastewater + food-waste bioenergy</x:v>
      </x:c>
      <x:c r="B5" s="6" t="str">
        <x:v>v13</x:v>
      </x:c>
      <x:c r="C5" s="6" t="str">
        <x:v>RESTORED</x:v>
      </x:c>
      <x:c r="D5" s="6" t="str">
        <x:v>RECONCILE_ONLY electricity</x:v>
      </x:c>
    </x:row>
    <x:row r="6">
      <x:c r="A6" s="6" t="str">
        <x:v>N/P/K nutrient loops</x:v>
      </x:c>
      <x:c r="B6" s="6" t="str">
        <x:v>v13</x:v>
      </x:c>
      <x:c r="C6" s="6" t="str">
        <x:v>RESTORED</x:v>
      </x:c>
      <x:c r="D6" s="6" t="str">
        <x:v>Gross legacy capture + V53.1 credited haircut shown together</x:v>
      </x:c>
    </x:row>
    <x:row r="7">
      <x:c r="A7" s="6" t="str">
        <x:v>Tidal power</x:v>
      </x:c>
      <x:c r="B7" s="6" t="str">
        <x:v>v14</x:v>
      </x:c>
      <x:c r="C7" s="6" t="str">
        <x:v>RESTORED</x:v>
      </x:c>
      <x:c r="D7" s="6" t="str">
        <x:v>RECONCILE_ONLY supply</x:v>
      </x:c>
    </x:row>
    <x:row r="8">
      <x:c r="A8" s="6" t="str">
        <x:v>Storage technology portfolio</x:v>
      </x:c>
      <x:c r="B8" s="6" t="str">
        <x:v>v15</x:v>
      </x:c>
      <x:c r="C8" s="6" t="str">
        <x:v>RESTORED</x:v>
      </x:c>
      <x:c r="D8" s="6" t="str">
        <x:v>Current synthetic 8760 adequacy remains authoritative</x:v>
      </x:c>
    </x:row>
    <x:row r="9">
      <x:c r="A9" s="6" t="str">
        <x:v>Firm-clean options</x:v>
      </x:c>
      <x:c r="B9" s="6" t="str">
        <x:v>v15</x:v>
      </x:c>
      <x:c r="C9" s="6" t="str">
        <x:v>RESTORED</x:v>
      </x:c>
      <x:c r="D9" s="6" t="str">
        <x:v>Old zero-nuclear conclusion superseded</x:v>
      </x:c>
    </x:row>
    <x:row r="10">
      <x:c r="A10" s="6" t="str">
        <x:v>Shock resilience suite</x:v>
      </x:c>
      <x:c r="B10" s="6" t="str">
        <x:v>v16</x:v>
      </x:c>
      <x:c r="C10" s="6" t="str">
        <x:v>RESTORED</x:v>
      </x:c>
      <x:c r="D10" s="6" t="str">
        <x:v>Legacy PASS not revalidated</x:v>
      </x:c>
    </x:row>
    <x:row r="11">
      <x:c r="A11" s="6" t="str">
        <x:v>Tree natural-capital architecture</x:v>
      </x:c>
      <x:c r="B11" s="6" t="str">
        <x:v>v20</x:v>
      </x:c>
      <x:c r="C11" s="6" t="str">
        <x:v>RESTORED</x:v>
      </x:c>
      <x:c r="D11" s="6" t="str">
        <x:v>Policy/valuation layer</x:v>
      </x:c>
    </x:row>
    <x:row r="12">
      <x:c r="A12" s="6" t="str">
        <x:v>National genesis allocation</x:v>
      </x:c>
      <x:c r="B12" s="6" t="str">
        <x:v>v20</x:v>
      </x:c>
      <x:c r="C12" s="6" t="str">
        <x:v>RESTORED</x:v>
      </x:c>
      <x:c r="D12" s="6" t="str">
        <x:v>Policy architecture</x:v>
      </x:c>
    </x:row>
    <x:row r="13">
      <x:c r="A13" s="6" t="str">
        <x:v>Country contribution equalizer</x:v>
      </x:c>
      <x:c r="B13" s="6" t="str">
        <x:v>v21</x:v>
      </x:c>
      <x:c r="C13" s="6" t="str">
        <x:v>RESTORED</x:v>
      </x:c>
      <x:c r="D13" s="6" t="str">
        <x:v>Technology-neutral fairness layer</x:v>
      </x:c>
    </x:row>
    <x:row r="14">
      <x:c r="A14" s="6" t="str">
        <x:v>Parallel settlement / Bitcoin leakage</x:v>
      </x:c>
      <x:c r="B14" s="6" t="str">
        <x:v>v22</x:v>
      </x:c>
      <x:c r="C14" s="6" t="str">
        <x:v>RESTORED</x:v>
      </x:c>
      <x:c r="D14" s="6" t="str">
        <x:v>Governance sensitivity</x:v>
      </x:c>
    </x:row>
    <x:row r="15">
      <x:c r="A15" s="6" t="str">
        <x:v>Sanctions governance</x:v>
      </x:c>
      <x:c r="B15" s="6" t="str">
        <x:v>v21</x:v>
      </x:c>
      <x:c r="C15" s="6" t="str">
        <x:v>RESTORED</x:v>
      </x:c>
      <x:c r="D15" s="6" t="str">
        <x:v>Governance sensitivity</x:v>
      </x:c>
    </x:row>
    <x:row r="16">
      <x:c r="A16" s="6" t="str">
        <x:v>Dollar transition context</x:v>
      </x:c>
      <x:c r="B16" s="6" t="str">
        <x:v>v22</x:v>
      </x:c>
      <x:c r="C16" s="6" t="str">
        <x:v>RESTORED</x:v>
      </x:c>
      <x:c r="D16" s="6" t="str">
        <x:v>Context; not deterministic de-dollarization</x:v>
      </x:c>
    </x:row>
    <x:row r="17">
      <x:c r="A17" s="6" t="str">
        <x:v>No-new-burden + protected transactions</x:v>
      </x:c>
      <x:c r="B17" s="6" t="str">
        <x:v>v22</x:v>
      </x:c>
      <x:c r="C17" s="6" t="str">
        <x:v>RESTORED</x:v>
      </x:c>
      <x:c r="D17" s="6" t="str">
        <x:v>Current settlement cap shown beside legacy benchmark</x:v>
      </x:c>
    </x:row>
    <x:row r="18">
      <x:c r="A18" s="6" t="str">
        <x:v>Food + universal basic health budget</x:v>
      </x:c>
      <x:c r="B18" s="6" t="str">
        <x:v>v22</x:v>
      </x:c>
      <x:c r="C18" s="6" t="str">
        <x:v>RESTORED</x:v>
      </x:c>
      <x:c r="D18" s="6" t="str">
        <x:v>Resource screen</x:v>
      </x:c>
    </x:row>
    <x:row r="19">
      <x:c r="A19" s="6" t="str">
        <x:v>Distributed AI/data-center banking transition</x:v>
      </x:c>
      <x:c r="B19" s="6" t="str">
        <x:v>v23</x:v>
      </x:c>
      <x:c r="C19" s="6" t="str">
        <x:v>RESTORED</x:v>
      </x:c>
      <x:c r="D19" s="6" t="str">
        <x:v>Implementation/economic screen</x:v>
      </x:c>
    </x:row>
    <x:row r="20">
      <x:c r="A20" s="6" t="str">
        <x:v>Los Jardines Cella demonstration archetype</x:v>
      </x:c>
      <x:c r="B20" s="6" t="str">
        <x:v>v23</x:v>
      </x:c>
      <x:c r="C20" s="6" t="str">
        <x:v>RESTORED</x:v>
      </x:c>
      <x:c r="D20" s="6" t="str">
        <x:v>Design model, not operational deployment</x:v>
      </x:c>
    </x:row>
    <x:row r="21">
      <x:c r="A21" s="6" t="str">
        <x:v>Workforce transition</x:v>
      </x:c>
      <x:c r="B21" s="6" t="str">
        <x:v>v21</x:v>
      </x:c>
      <x:c r="C21" s="6" t="str">
        <x:v>RESTORED</x:v>
      </x:c>
      <x:c r="D21" s="6" t="str">
        <x:v>Planning stress, not forecast</x:v>
      </x:c>
    </x:row>
    <x:row r="22">
      <x:c r="A22" s="6" t="str">
        <x:v>Detailed maritime decarbonization</x:v>
      </x:c>
      <x:c r="B22" s="6" t="str">
        <x:v>v8/v9</x:v>
      </x:c>
      <x:c r="C22" s="6" t="str">
        <x:v>RESTORED</x:v>
      </x:c>
      <x:c r="D22" s="6" t="str">
        <x:v>RECONCILE_ONLY load</x:v>
      </x:c>
    </x:row>
    <x:row r="23">
      <x:c r="A23" s="6" t="str">
        <x:v>Cross-border fee/equalizer funding</x:v>
      </x:c>
      <x:c r="B23" s="6" t="str">
        <x:v>v21</x:v>
      </x:c>
      <x:c r="C23" s="6" t="str">
        <x:v>RESTORED</x:v>
      </x:c>
      <x:c r="D23" s="6" t="str">
        <x:v>Old restoration dates superseded</x:v>
      </x:c>
    </x:row>
    <x:row r="24">
      <x:c r="A24" s="6" t="str">
        <x:v>Current water/seaweed/nutrients/plastics core screens</x:v>
      </x:c>
      <x:c r="B24" s="6" t="str">
        <x:v>V53.1 source</x:v>
      </x:c>
      <x:c r="C24" s="6" t="str">
        <x:v>RE-EXPOSED</x:v>
      </x:c>
      <x:c r="D24" s="6" t="str">
        <x:v>Were present in source but missing from release wrapper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83" t="str">
        <x:v>metric</x:v>
      </x:c>
      <x:c r="B1" s="83" t="str">
        <x:v>value</x:v>
      </x:c>
    </x:row>
    <x:row r="2">
      <x:c r="A2" s="6" t="str">
        <x:v>mode</x:v>
      </x:c>
      <x:c r="B2" s="6" t="str">
        <x:v>RECONCILE_ONLY</x:v>
      </x:c>
    </x:row>
    <x:row r="3">
      <x:c r="A3" s="6" t="str">
        <x:v>external_pre_cdr_electricity_twh_yr</x:v>
      </x:c>
      <x:c r="B3" s="6" t="n">
        <x:v>86181.327</x:v>
      </x:c>
    </x:row>
    <x:row r="4">
      <x:c r="A4" s="6" t="str">
        <x:v>legacy_explicit_load_candidates_twh_yr.shipping</x:v>
      </x:c>
      <x:c r="B4" s="6" t="n">
        <x:v>15129.77142857143</x:v>
      </x:c>
    </x:row>
    <x:row r="5">
      <x:c r="A5" s="6" t="str">
        <x:v>legacy_explicit_load_candidates_twh_yr.seaweed_saf_process</x:v>
      </x:c>
      <x:c r="B5" s="6" t="n">
        <x:v>1051.555555555568</x:v>
      </x:c>
    </x:row>
    <x:row r="6">
      <x:c r="A6" s="6" t="str">
        <x:v>legacy_explicit_load_candidates_twh_yr.grid_harvester</x:v>
      </x:c>
      <x:c r="B6" s="6" t="n">
        <x:v>19.822198845569492</x:v>
      </x:c>
    </x:row>
    <x:row r="7">
      <x:c r="A7" s="6" t="str">
        <x:v>legacy_explicit_supply_candidates_twh_yr.wastewater_plus_food_waste</x:v>
      </x:c>
      <x:c r="B7" s="6" t="n">
        <x:v>865.5549150204</x:v>
      </x:c>
    </x:row>
    <x:row r="8">
      <x:c r="A8" s="6" t="str">
        <x:v>legacy_explicit_supply_candidates_twh_yr.tidal_net</x:v>
      </x:c>
      <x:c r="B8" s="6" t="n">
        <x:v>1800</x:v>
      </x:c>
    </x:row>
    <x:row r="9">
      <x:c r="A9" s="6" t="str">
        <x:v>headline_adjustment_twh_yr</x:v>
      </x:c>
      <x:c r="B9" s="6" t="n">
        <x:v>0</x:v>
      </x:c>
    </x:row>
    <x:row r="10">
      <x:c r="A10" s="6" t="str">
        <x:v>rule</x:v>
      </x:c>
      <x:c r="B10" s="6" t="str">
        <x:v>No restored legacy load or supply is added to/subtracted from the 86,181.327 TWh/yr external screen until that screen is decomposed; this prevents double counting.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</x:cols>
  <x:sheetData>
    <x:row r="1">
      <x:c r="A1" s="185" t="str">
        <x:v>HISTORICAL / SUPERSEDED — Seaweed_SAF is retained for lineage only. Current results are in the V57_* sheets.</x:v>
      </x:c>
      <x:c r="B1" s="87" t="str">
        <x:v>global_aviation_fuel_bn_us_gal_yr</x:v>
      </x:c>
      <x:c r="C1" s="87" t="str">
        <x:v>fuel_mass_mt_yr</x:v>
      </x:c>
      <x:c r="D1" s="87" t="str">
        <x:v>dry_seaweed_gt_yr</x:v>
      </x:c>
      <x:c r="E1" s="87" t="str">
        <x:v>farm_area_million_km2</x:v>
      </x:c>
      <x:c r="F1" s="87" t="str">
        <x:v>external_process_energy_twh_eq_yr</x:v>
      </x:c>
      <x:c r="G1" s="87" t="str">
        <x:v>electricity_twh_yr</x:v>
      </x:c>
      <x:c r="H1" s="87" t="str">
        <x:v>electricity_saved_vs_legacy_e_saf_twh_yr</x:v>
      </x:c>
      <x:c r="I1" s="87" t="str">
        <x:v>mfsp_usd_gge</x:v>
      </x:c>
      <x:c r="J1" s="87" t="str">
        <x:v>annual_fuel_cost_usd_bn_yr</x:v>
      </x:c>
      <x:c r="K1" s="87" t="str">
        <x:v>status</x:v>
      </x:c>
    </x:row>
    <x:row r="2">
      <x:c r="A2" s="6" t="str">
        <x:v>low</x:v>
      </x:c>
      <x:c r="B2" s="6" t="n">
        <x:v>104</x:v>
      </x:c>
      <x:c r="C2" s="6" t="n">
        <x:v>307.0724592</x:v>
      </x:c>
      <x:c r="D2" s="6" t="n">
        <x:v>2.5589371600000006</x:v>
      </x:c>
      <x:c r="E2" s="6" t="n">
        <x:v>1.705958106666667</x:v>
      </x:c>
      <x:c r="F2" s="6" t="n">
        <x:v>2253.33333333336</x:v>
      </x:c>
      <x:c r="G2" s="6" t="n">
        <x:v>1577.333333333352</x:v>
      </x:c>
      <x:c r="H2" s="6" t="n">
        <x:v>10422.666666666648</x:v>
      </x:c>
      <x:c r="I2" s="6" t="n">
        <x:v>13</x:v>
      </x:c>
      <x:c r="J2" s="6" t="n">
        <x:v>1352</x:v>
      </x:c>
      <x:c r="K2" s="6" t="str">
        <x:v>RESTORED_LEGACY_SCREEN_NOT_ADDITIVE_TO_EXTERNAL_ELECTRICITY_BASE</x:v>
      </x:c>
    </x:row>
    <x:row r="3">
      <x:c r="A3" s="6" t="str">
        <x:v>central</x:v>
      </x:c>
      <x:c r="B3" s="6" t="n">
        <x:v>104</x:v>
      </x:c>
      <x:c r="C3" s="6" t="n">
        <x:v>314.946112</x:v>
      </x:c>
      <x:c r="D3" s="6" t="n">
        <x:v>1.852624188235294</x:v>
      </x:c>
      <x:c r="E3" s="6" t="n">
        <x:v>0.556343600070659</x:v>
      </x:c>
      <x:c r="F3" s="6" t="n">
        <x:v>1502.2222222222401</x:v>
      </x:c>
      <x:c r="G3" s="6" t="n">
        <x:v>1051.555555555568</x:v>
      </x:c>
      <x:c r="H3" s="6" t="n">
        <x:v>10948.444444444433</x:v>
      </x:c>
      <x:c r="I3" s="6" t="n">
        <x:v>9</x:v>
      </x:c>
      <x:c r="J3" s="6" t="n">
        <x:v>936</x:v>
      </x:c>
      <x:c r="K3" s="6" t="str">
        <x:v>RESTORED_LEGACY_SCREEN_NOT_ADDITIVE_TO_EXTERNAL_ELECTRICITY_BASE</x:v>
      </x:c>
    </x:row>
    <x:row r="4">
      <x:c r="A4" s="6" t="str">
        <x:v>high</x:v>
      </x:c>
      <x:c r="B4" s="6" t="n">
        <x:v>104</x:v>
      </x:c>
      <x:c r="C4" s="6" t="n">
        <x:v>322.8197648</x:v>
      </x:c>
      <x:c r="D4" s="6" t="n">
        <x:v>1.6140988239999998</x:v>
      </x:c>
      <x:c r="E4" s="6" t="n">
        <x:v>0.32281976479999996</x:v>
      </x:c>
      <x:c r="F4" s="6" t="n">
        <x:v>938.8888888889</x:v>
      </x:c>
      <x:c r="G4" s="6" t="n">
        <x:v>657.22222222223</x:v>
      </x:c>
      <x:c r="H4" s="6" t="n">
        <x:v>11342.77777777777</x:v>
      </x:c>
      <x:c r="I4" s="6" t="n">
        <x:v>7</x:v>
      </x:c>
      <x:c r="J4" s="6" t="n">
        <x:v>728</x:v>
      </x:c>
      <x:c r="K4" s="6" t="str">
        <x:v>RESTORED_LEGACY_SCREEN_NOT_ADDITIVE_TO_EXTERNAL_ELECTRICITY_BASE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185" t="str">
        <x:v>HISTORICAL / SUPERSEDED — Grid_Harvester is retained for lineage only. Current results are in the V57_* sheets.</x:v>
      </x:c>
      <x:c r="B1" s="87" t="str">
        <x:v>value</x:v>
      </x:c>
    </x:row>
    <x:row r="2">
      <x:c r="A2" s="6" t="str">
        <x:v>wet_throughput_t_h</x:v>
      </x:c>
      <x:c r="B2" s="6" t="n">
        <x:v>100</x:v>
      </x:c>
    </x:row>
    <x:row r="3">
      <x:c r="A3" s="6" t="str">
        <x:v>dry_fraction</x:v>
      </x:c>
      <x:c r="B3" s="6" t="n">
        <x:v>0.125</x:v>
      </x:c>
    </x:row>
    <x:row r="4">
      <x:c r="A4" s="6" t="str">
        <x:v>availability</x:v>
      </x:c>
      <x:c r="B4" s="6" t="n">
        <x:v>0.75</x:v>
      </x:c>
    </x:row>
    <x:row r="5">
      <x:c r="A5" s="6" t="str">
        <x:v>slurry_velocity_m_s</x:v>
      </x:c>
      <x:c r="B5" s="6" t="n">
        <x:v>2.4104501925526103</x:v>
      </x:c>
    </x:row>
    <x:row r="6">
      <x:c r="A6" s="6" t="str">
        <x:v>total_pump_head_m</x:v>
      </x:c>
      <x:c r="B6" s="6" t="n">
        <x:v>6.718883824154899</x:v>
      </x:c>
    </x:row>
    <x:row r="7">
      <x:c r="A7" s="6" t="str">
        <x:v>pump_power_kw</x:v>
      </x:c>
      <x:c r="B7" s="6" t="n">
        <x:v>8.715574345786857</x:v>
      </x:c>
    </x:row>
    <x:row r="8">
      <x:c r="A8" s="6" t="str">
        <x:v>cutter_power_kw</x:v>
      </x:c>
      <x:c r="B8" s="6" t="n">
        <x:v>75</x:v>
      </x:c>
    </x:row>
    <x:row r="9">
      <x:c r="A9" s="6" t="str">
        <x:v>hose_cross_current_force_n</x:v>
      </x:c>
      <x:c r="B9" s="6" t="n">
        <x:v>244.4309518042406</x:v>
      </x:c>
    </x:row>
    <x:row r="10">
      <x:c r="A10" s="6" t="str">
        <x:v>total_operating_power_kw</x:v>
      </x:c>
      <x:c r="B10" s="6" t="n">
        <x:v>133.74406270551114</x:v>
      </x:c>
    </x:row>
    <x:row r="11">
      <x:c r="A11" s="6" t="str">
        <x:v>specific_electricity_kwh_wet_t</x:v>
      </x:c>
      <x:c r="B11" s="6" t="n">
        <x:v>1.3374406270551114</x:v>
      </x:c>
    </x:row>
    <x:row r="12">
      <x:c r="A12" s="6" t="str">
        <x:v>specific_electricity_kwh_dry_t</x:v>
      </x:c>
      <x:c r="B12" s="6" t="n">
        <x:v>10.69952501644089</x:v>
      </x:c>
    </x:row>
    <x:row r="13">
      <x:c r="A13" s="6" t="str">
        <x:v>annual_dry_harvest_t_unit</x:v>
      </x:c>
      <x:c r="B13" s="6" t="n">
        <x:v>82125</x:v>
      </x:c>
    </x:row>
    <x:row r="14">
      <x:c r="A14" s="6" t="str">
        <x:v>annual_electricity_mwh_unit</x:v>
      </x:c>
      <x:c r="B14" s="6" t="n">
        <x:v>878.6984919752082</x:v>
      </x:c>
    </x:row>
    <x:row r="15">
      <x:c r="A15" s="6" t="str">
        <x:v>annual_total_unit_cost_usd_m</x:v>
      </x:c>
      <x:c r="B15" s="6" t="n">
        <x:v>2.0363295344550694</x:v>
      </x:c>
    </x:row>
    <x:row r="16">
      <x:c r="A16" s="6" t="str">
        <x:v>harvest_cost_usd_dry_t</x:v>
      </x:c>
      <x:c r="B16" s="6" t="n">
        <x:v>24.79548900401911</x:v>
      </x:c>
    </x:row>
    <x:row r="17">
      <x:c r="A17" s="6" t="str">
        <x:v>saving_vs_legacy_reference_usd_dry_t</x:v>
      </x:c>
      <x:c r="B17" s="6" t="n">
        <x:v>27.45451099598089</x:v>
      </x:c>
    </x:row>
    <x:row r="18">
      <x:c r="A18" s="6" t="str">
        <x:v>mfsp_saving_usd_gge</x:v>
      </x:c>
      <x:c r="B18" s="6" t="n">
        <x:v>0.4890662610321786</x:v>
      </x:c>
    </x:row>
    <x:row r="19">
      <x:c r="A19" s="6" t="str">
        <x:v>required_fleet_units</x:v>
      </x:c>
      <x:c r="B19" s="6" t="n">
        <x:v>22558.589808219178</x:v>
      </x:c>
    </x:row>
    <x:row r="20">
      <x:c r="A20" s="6" t="str">
        <x:v>global_harvest_electricity_twh_yr</x:v>
      </x:c>
      <x:c r="B20" s="6" t="n">
        <x:v>19.822198845569492</x:v>
      </x:c>
    </x:row>
    <x:row r="21">
      <x:c r="A21" s="6" t="str">
        <x:v>fleet_capex_usd_bn</x:v>
      </x:c>
      <x:c r="B21" s="6" t="n">
        <x:v>169.18942356164382</x:v>
      </x:c>
    </x:row>
    <x:row r="22">
      <x:c r="A22" s="6" t="str">
        <x:v>v54_independent_recompute_total_power_kw</x:v>
      </x:c>
      <x:c r="B22" s="6" t="n">
        <x:v>133.84132038235686</x:v>
      </x:c>
    </x:row>
    <x:row r="23">
      <x:c r="A23" s="6" t="str">
        <x:v>v54_independent_recompute_global_electricity_twh_yr</x:v>
      </x:c>
      <x:c r="B23" s="6" t="n">
        <x:v>19.836613402056305</x:v>
      </x:c>
    </x:row>
    <x:row r="24">
      <x:c r="A24" s="6" t="str">
        <x:v>status</x:v>
      </x:c>
      <x:c r="B24" s="6" t="str">
        <x:v>RESTORED_V19_PHYSICAL_SCREEN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185" t="str">
        <x:v>HISTORICAL / SUPERSEDED — CSP_HTL is retained for lineage only. Current results are in the V57_* sheets.</x:v>
      </x:c>
      <x:c r="B1" s="87" t="str">
        <x:v>value</x:v>
      </x:c>
    </x:row>
    <x:row r="2">
      <x:c r="A2" s="6" t="str">
        <x:v>revised_external_process_energy_twh_eq_yr</x:v>
      </x:c>
      <x:c r="B2" s="6" t="n">
        <x:v>1452.1481266666665</x:v>
      </x:c>
    </x:row>
    <x:row r="3">
      <x:c r="A3" s="6" t="str">
        <x:v>direct_solar_process_heat_twhth_yr</x:v>
      </x:c>
      <x:c r="B3" s="6" t="n">
        <x:v>570.03578636853</x:v>
      </x:c>
    </x:row>
    <x:row r="4">
      <x:c r="A4" s="6" t="str">
        <x:v>solar_electricity_and_h2_twh_yr</x:v>
      </x:c>
      <x:c r="B4" s="6" t="n">
        <x:v>882.1123402981366</x:v>
      </x:c>
    </x:row>
    <x:row r="5">
      <x:c r="A5" s="6" t="str">
        <x:v>electricity_saved_vs_v9_allocation_twh_yr</x:v>
      </x:c>
      <x:c r="B5" s="6" t="n">
        <x:v>169.44325970186333</x:v>
      </x:c>
    </x:row>
    <x:row r="6">
      <x:c r="A6" s="6" t="str">
        <x:v>heat_field_mirror_aperture_km2</x:v>
      </x:c>
      <x:c r="B6" s="6" t="n">
        <x:v>380.02385757902005</x:v>
      </x:c>
    </x:row>
    <x:row r="7">
      <x:c r="A7" s="6" t="str">
        <x:v>power_field_mirror_aperture_km2</x:v>
      </x:c>
      <x:c r="B7" s="6" t="n">
        <x:v>1764.2246805962732</x:v>
      </x:c>
    </x:row>
    <x:row r="8">
      <x:c r="A8" s="6" t="str">
        <x:v>total_mirror_aperture_km2</x:v>
      </x:c>
      <x:c r="B8" s="6" t="n">
        <x:v>2144.248538175293</x:v>
      </x:c>
    </x:row>
    <x:row r="9">
      <x:c r="A9" s="6" t="str">
        <x:v>indicative_csp_land_footprint_km2</x:v>
      </x:c>
      <x:c r="B9" s="6" t="n">
        <x:v>5360.621345438232</x:v>
      </x:c>
    </x:row>
    <x:row r="10">
      <x:c r="A10" s="6" t="str">
        <x:v>annual_process_cost_usd_bn_yr</x:v>
      </x:c>
      <x:c r="B10" s="6" t="n">
        <x:v>58.3565</x:v>
      </x:c>
    </x:row>
    <x:row r="11">
      <x:c r="A11" s="6" t="str">
        <x:v>annual_energy_saving_usd_bn_yr</x:v>
      </x:c>
      <x:c r="B11" s="6" t="n">
        <x:v>18.2568</x:v>
      </x:c>
    </x:row>
    <x:row r="12">
      <x:c r="A12" s="6" t="str">
        <x:v>v18_final_mfsp_usd_gge</x:v>
      </x:c>
      <x:c r="B12" s="6" t="n">
        <x:v>8.399404045089767</x:v>
      </x:c>
    </x:row>
    <x:row r="13">
      <x:c r="A13" s="6" t="str">
        <x:v>v19_final_mfsp_usd_gge</x:v>
      </x:c>
      <x:c r="B13" s="6" t="n">
        <x:v>8.335387</x:v>
      </x:c>
    </x:row>
    <x:row r="14">
      <x:c r="A14" s="6" t="str">
        <x:v>v19_annual_fuel_cost_usd_bn_yr</x:v>
      </x:c>
      <x:c r="B14" s="6" t="n">
        <x:v>866.8803</x:v>
      </x:c>
    </x:row>
    <x:row r="15">
      <x:c r="A15" s="6" t="str">
        <x:v>v19_annual_saving_vs_9_usd_gge_usd_bn_yr</x:v>
      </x:c>
      <x:c r="B15" s="6" t="n">
        <x:v>69.1197</x:v>
      </x:c>
    </x:row>
    <x:row r="16">
      <x:c r="A16" s="6" t="str">
        <x:v>grid_harvester_global_electricity_twh_yr</x:v>
      </x:c>
      <x:c r="B16" s="6" t="n">
        <x:v>19.822198845569492</x:v>
      </x:c>
    </x:row>
    <x:row r="17">
      <x:c r="A17" s="6" t="str">
        <x:v>status</x:v>
      </x:c>
      <x:c r="B17" s="6" t="str">
        <x:v>RESTORED_LEGACY_SCREEN_NOT_ADDITIVE_TO_EXTERNAL_ELECTRICITY_BASE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>
      <x:c r="A1" s="185" t="str">
        <x:v>HISTORICAL / SUPERSEDED — Seaweed_Food is retained for lineage only. Current results are in the V57_* sheets.</x:v>
      </x:c>
      <x:c r="B1" s="91" t="str">
        <x:v>total_dry_seaweed_gt_yr</x:v>
      </x:c>
      <x:c r="C1" s="91" t="str">
        <x:v>food_grade_dry_seaweed_mt_yr</x:v>
      </x:c>
      <x:c r="D1" s="91" t="str">
        <x:v>protein_mt_yr</x:v>
      </x:c>
      <x:c r="E1" s="91" t="str">
        <x:v>protein_g_person_day</x:v>
      </x:c>
      <x:c r="F1" s="91" t="str">
        <x:v>food_energy_kcal_person_day</x:v>
      </x:c>
      <x:c r="G1" s="91" t="str">
        <x:v>share_reference_diet_energy</x:v>
      </x:c>
      <x:c r="H1" s="91" t="str">
        <x:v>required_farm_area_million_km2</x:v>
      </x:c>
      <x:c r="I1" s="91" t="str">
        <x:v>share_world_ocean</x:v>
      </x:c>
      <x:c r="J1" s="91" t="str">
        <x:v>status</x:v>
      </x:c>
    </x:row>
    <x:row r="2">
      <x:c r="A2" s="6" t="str">
        <x:v>central</x:v>
      </x:c>
      <x:c r="B2" s="6" t="n">
        <x:v>1.9501307244582047</x:v>
      </x:c>
      <x:c r="C2" s="6" t="n">
        <x:v>97.50653622291024</x:v>
      </x:c>
      <x:c r="D2" s="6" t="n">
        <x:v>9.750653622291026</x:v>
      </x:c>
      <x:c r="E2" s="6" t="n">
        <x:v>2.5936038362258347</x:v>
      </x:c>
      <x:c r="F2" s="6" t="n">
        <x:v>51.87207672451669</x:v>
      </x:c>
      <x:c r="G2" s="6" t="n">
        <x:v>0.022026359543319187</x:v>
      </x:c>
      <x:c r="H2" s="6" t="n">
        <x:v>0.5856248421796412</x:v>
      </x:c>
      <x:c r="I2" s="6" t="n">
        <x:v>0.0016222294797219978</x:v>
      </x:c>
      <x:c r="J2" s="6" t="str">
        <x:v>RESTORED_SCENARIO</x:v>
      </x:c>
    </x:row>
    <x:row r="3">
      <x:c r="A3" s="6" t="str">
        <x:v>low</x:v>
      </x:c>
      <x:c r="B3" s="6" t="n">
        <x:v>1.6470396163265306</x:v>
      </x:c>
      <x:c r="C3" s="6" t="n">
        <x:v>32.94079232653061</x:v>
      </x:c>
      <x:c r="D3" s="6" t="n">
        <x:v>2.305855462857143</x:v>
      </x:c>
      <x:c r="E3" s="6" t="n">
        <x:v>0.7704161252446186</x:v>
      </x:c>
      <x:c r="F3" s="6" t="n">
        <x:v>16.50891696952754</x:v>
      </x:c>
      <x:c r="G3" s="6" t="n">
        <x:v>0.007010155825701716</x:v>
      </x:c>
      <x:c r="H3" s="6" t="n">
        <x:v>0.3294079232653061</x:v>
      </x:c>
      <x:c r="I3" s="6" t="n">
        <x:v>0.0009124873220645598</x:v>
      </x:c>
      <x:c r="J3" s="6" t="str">
        <x:v>RESTORED_SCENARIO</x:v>
      </x:c>
    </x:row>
    <x:row r="4">
      <x:c r="A4" s="6" t="str">
        <x:v>high</x:v>
      </x:c>
      <x:c r="B4" s="6" t="n">
        <x:v>2.7814534347826085</x:v>
      </x:c>
      <x:c r="C4" s="6" t="n">
        <x:v>222.5162747826087</x:v>
      </x:c>
      <x:c r="D4" s="6" t="n">
        <x:v>33.3774412173913</x:v>
      </x:c>
      <x:c r="E4" s="6" t="n">
        <x:v>8.878159653515441</x:v>
      </x:c>
      <x:c r="F4" s="6" t="n">
        <x:v>147.9693275585907</x:v>
      </x:c>
      <x:c r="G4" s="6" t="n">
        <x:v>0.06283198622445464</x:v>
      </x:c>
      <x:c r="H4" s="6" t="n">
        <x:v>1.8543022898550723</x:v>
      </x:c>
      <x:c r="I4" s="6" t="n">
        <x:v>0.005136571440041752</x:v>
      </x:c>
      <x:c r="J4" s="6" t="str">
        <x:v>RESTORED_SCENARIO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</x:cols>
  <x:sheetData>
    <x:row r="1">
      <x:c r="A1" s="91" t="str">
        <x:v>case</x:v>
      </x:c>
      <x:c r="B1" s="91" t="str">
        <x:v>population_b</x:v>
      </x:c>
      <x:c r="C1" s="91" t="str">
        <x:v>captured_methane_billion_m3_yr</x:v>
      </x:c>
      <x:c r="D1" s="91" t="str">
        <x:v>methane_energy_twhth_yr</x:v>
      </x:c>
      <x:c r="E1" s="91" t="str">
        <x:v>gross_electricity_twh_yr</x:v>
      </x:c>
      <x:c r="F1" s="91" t="str">
        <x:v>net_electricity_twh_yr</x:v>
      </x:c>
      <x:c r="G1" s="91" t="str">
        <x:v>useful_heat_twhth_yr</x:v>
      </x:c>
      <x:c r="H1" s="91" t="str">
        <x:v>net_electricity_with_food_waste_twh_yr</x:v>
      </x:c>
      <x:c r="I1" s="91" t="str">
        <x:v>status</x:v>
      </x:c>
    </x:row>
    <x:row r="2">
      <x:c r="A2" s="6" t="str">
        <x:v>low</x:v>
      </x:c>
      <x:c r="B2" s="6" t="n">
        <x:v>10.3</x:v>
      </x:c>
      <x:c r="C2" s="6" t="n">
        <x:v>87.035</x:v>
      </x:c>
      <x:c r="D2" s="6" t="n">
        <x:v>867.73895</x:v>
      </x:c>
      <x:c r="E2" s="6" t="n">
        <x:v>277.676464</x:v>
      </x:c>
      <x:c r="F2" s="6" t="n">
        <x:v>180.48970160000002</x:v>
      </x:c>
      <x:c r="G2" s="6" t="n">
        <x:v>303.7086325</x:v>
      </x:c>
      <x:c r="H2" s="6" t="n">
        <x:v>207.56315684</x:v>
      </x:c>
      <x:c r="I2" s="6" t="str">
        <x:v>RESTORED_LEGACY_SCREEN</x:v>
      </x:c>
    </x:row>
    <x:row r="3">
      <x:c r="A3" s="6" t="str">
        <x:v>central_legacy</x:v>
      </x:c>
      <x:c r="B3" s="6" t="n">
        <x:v>12.2</x:v>
      </x:c>
      <x:c r="C3" s="6" t="n">
        <x:v>238.17816</x:v>
      </x:c>
      <x:c r="D3" s="6" t="n">
        <x:v>2374.6362552</x:v>
      </x:c>
      <x:c r="E3" s="6" t="n">
        <x:v>854.869051872</x:v>
      </x:c>
      <x:c r="F3" s="6" t="n">
        <x:v>641.151788904</x:v>
      </x:c>
      <x:c r="G3" s="6" t="n">
        <x:v>1068.5863148400001</x:v>
      </x:c>
      <x:c r="H3" s="6" t="n">
        <x:v>865.5549150204</x:v>
      </x:c>
      <x:c r="I3" s="6" t="str">
        <x:v>RESTORED_LEGACY_SCREEN</x:v>
      </x:c>
    </x:row>
    <x:row r="4">
      <x:c r="A4" s="6" t="str">
        <x:v>high</x:v>
      </x:c>
      <x:c r="B4" s="6" t="n">
        <x:v>13</x:v>
      </x:c>
      <x:c r="C4" s="6" t="n">
        <x:v>389.025</x:v>
      </x:c>
      <x:c r="D4" s="6" t="n">
        <x:v>3878.5792500000002</x:v>
      </x:c>
      <x:c r="E4" s="6" t="n">
        <x:v>1551.4317</x:v>
      </x:c>
      <x:c r="F4" s="6" t="n">
        <x:v>1318.7169450000001</x:v>
      </x:c>
      <x:c r="G4" s="6" t="n">
        <x:v>1939.2896250000001</x:v>
      </x:c>
      <x:c r="H4" s="6" t="n">
        <x:v>2109.9471120000003</x:v>
      </x:c>
      <x:c r="I4" s="6" t="str">
        <x:v>RESTORED_LEGACY_SCREEN</x:v>
      </x:c>
    </x:row>
    <x:row r="5">
      <x:c r="A5" s="6" t="str">
        <x:v>central_normalized_to_current_planning_population</x:v>
      </x:c>
      <x:c r="B5" s="6" t="n">
        <x:v>10.3</x:v>
      </x:c>
      <x:c r="C5" s="6" t="n">
        <x:v>201.08484</x:v>
      </x:c>
      <x:c r="D5" s="6" t="n">
        <x:v>2004.8158548000004</x:v>
      </x:c>
      <x:c r="E5" s="6" t="n">
        <x:v>721.7337077280001</x:v>
      </x:c>
      <x:c r="F5" s="6" t="n">
        <x:v>541.3002807960002</x:v>
      </x:c>
      <x:c r="G5" s="6" t="n">
        <x:v>902.1671346600002</x:v>
      </x:c>
      <x:c r="H5" s="6" t="n">
        <x:v>730.7553790746002</x:v>
      </x:c>
      <x:c r="I5" s="6" t="str">
        <x:v>V54_NORMALIZED_SCREEN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91" t="str">
        <x:v>metric</x:v>
      </x:c>
      <x:c r="B1" s="91" t="str">
        <x:v>value</x:v>
      </x:c>
    </x:row>
    <x:row r="2">
      <x:c r="A2" s="6" t="str">
        <x:v>effective_n_fertilizer_replacement_fraction</x:v>
      </x:c>
      <x:c r="B2" s="6" t="n">
        <x:v>0.2565</x:v>
      </x:c>
    </x:row>
    <x:row r="3">
      <x:c r="A3" s="6" t="str">
        <x:v>effective_p_fertilizer_replacement_fraction</x:v>
      </x:c>
      <x:c r="B3" s="6" t="n">
        <x:v>0.0825</x:v>
      </x:c>
    </x:row>
    <x:row r="4">
      <x:c r="A4" s="6" t="str">
        <x:v>effective_k_fertilizer_replacement_fraction</x:v>
      </x:c>
      <x:c r="B4" s="6" t="n">
        <x:v>0.2775</x:v>
      </x:c>
    </x:row>
    <x:row r="5">
      <x:c r="A5" s="6" t="str">
        <x:v>legacy_gross_coastal_n_capture_mt_yr</x:v>
      </x:c>
      <x:c r="B5" s="6" t="n">
        <x:v>8.835415</x:v>
      </x:c>
    </x:row>
    <x:row r="6">
      <x:c r="A6" s="6" t="str">
        <x:v>legacy_gross_coastal_p_capture_mt_yr</x:v>
      </x:c>
      <x:c r="B6" s="6" t="n">
        <x:v>1.1134</x:v>
      </x:c>
    </x:row>
    <x:row r="7">
      <x:c r="A7" s="6" t="str">
        <x:v>nutrient_loop_food_multiplier</x:v>
      </x:c>
      <x:c r="B7" s="6" t="n">
        <x:v>1.025</x:v>
      </x:c>
    </x:row>
    <x:row r="8">
      <x:c r="A8" s="6" t="str">
        <x:v>coastal_seaweed_resilience_multiplier</x:v>
      </x:c>
      <x:c r="B8" s="6" t="n">
        <x:v>1.01</x:v>
      </x:c>
    </x:row>
    <x:row r="9">
      <x:c r="A9" s="6" t="str">
        <x:v>v53_1_credited_n_mt_yr</x:v>
      </x:c>
      <x:c r="B9" s="6" t="n">
        <x:v>4.42</x:v>
      </x:c>
    </x:row>
    <x:row r="10">
      <x:c r="A10" s="6" t="str">
        <x:v>v53_1_credited_p_mt_yr</x:v>
      </x:c>
      <x:c r="B10" s="6" t="n">
        <x:v>0.555</x:v>
      </x:c>
    </x:row>
    <x:row r="11">
      <x:c r="A11" s="6" t="str">
        <x:v>n_crediting_ratio_vs_legacy_gross</x:v>
      </x:c>
      <x:c r="B11" s="6" t="n">
        <x:v>0.500259467155759</x:v>
      </x:c>
    </x:row>
    <x:row r="12">
      <x:c r="A12" s="6" t="str">
        <x:v>p_crediting_ratio_vs_legacy_gross</x:v>
      </x:c>
      <x:c r="B12" s="6" t="n">
        <x:v>0.4984731453206396</x:v>
      </x:c>
    </x:row>
    <x:row r="13">
      <x:c r="A13" s="6" t="str">
        <x:v>status</x:v>
      </x:c>
      <x:c r="B13" s="6" t="str">
        <x:v>RESTORED_WITH_UNDOCUMENTED_LINEAGE_HAIRCUT_EXPOSED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</x:cols>
  <x:sheetData>
    <x:row r="1">
      <x:c r="A1" s="95" t="str">
        <x:v>case</x:v>
      </x:c>
      <x:c r="B1" s="95" t="str">
        <x:v>gross_tidal_twh_yr</x:v>
      </x:c>
      <x:c r="C1" s="95" t="str">
        <x:v>net_delivered_tidal_twh_yr</x:v>
      </x:c>
      <x:c r="D1" s="95" t="str">
        <x:v>firm_value_equivalent_twh_yr</x:v>
      </x:c>
      <x:c r="E1" s="95" t="str">
        <x:v>lifecycle_emissions_mtco2e_yr</x:v>
      </x:c>
      <x:c r="F1" s="95" t="str">
        <x:v>annual_generation_cost_usd_bn_yr</x:v>
      </x:c>
      <x:c r="G1" s="95" t="str">
        <x:v>legacy_clean_energy_gap_after_wastewater_tidal_twh_yr</x:v>
      </x:c>
      <x:c r="H1" s="95" t="str">
        <x:v>status</x:v>
      </x:c>
    </x:row>
    <x:row r="2">
      <x:c r="A2" s="6" t="str">
        <x:v>conservative</x:v>
      </x:c>
      <x:c r="B2" s="6" t="n">
        <x:v>900</x:v>
      </x:c>
      <x:c r="C2" s="6" t="n">
        <x:v>792</x:v>
      </x:c>
      <x:c r="D2" s="6" t="n">
        <x:v>554.4</x:v>
      </x:c>
      <x:c r="E2" s="6" t="n">
        <x:v>11.88</x:v>
      </x:c>
      <x:c r="F2" s="6" t="n">
        <x:v>142.56</x:v>
      </x:c>
      <x:c r="G2" s="6" t="n">
        <x:v>11581.33</x:v>
      </x:c>
      <x:c r="H2" s="6" t="str">
        <x:v>RESTORED_RECONCILE_ONLY</x:v>
      </x:c>
    </x:row>
    <x:row r="3">
      <x:c r="A3" s="6" t="str">
        <x:v>central</x:v>
      </x:c>
      <x:c r="B3" s="6" t="n">
        <x:v>2000</x:v>
      </x:c>
      <x:c r="C3" s="6" t="n">
        <x:v>1800</x:v>
      </x:c>
      <x:c r="D3" s="6" t="n">
        <x:v>1440</x:v>
      </x:c>
      <x:c r="E3" s="6" t="n">
        <x:v>18</x:v>
      </x:c>
      <x:c r="F3" s="6" t="n">
        <x:v>252</x:v>
      </x:c>
      <x:c r="G3" s="6" t="n">
        <x:v>9915.33</x:v>
      </x:c>
      <x:c r="H3" s="6" t="str">
        <x:v>RESTORED_RECONCILE_ONLY</x:v>
      </x:c>
    </x:row>
    <x:row r="4">
      <x:c r="A4" s="6" t="str">
        <x:v>high</x:v>
      </x:c>
      <x:c r="B4" s="6" t="n">
        <x:v>3300</x:v>
      </x:c>
      <x:c r="C4" s="6" t="n">
        <x:v>3036</x:v>
      </x:c>
      <x:c r="D4" s="6" t="n">
        <x:v>2732.4</x:v>
      </x:c>
      <x:c r="E4" s="6" t="n">
        <x:v>24.288</x:v>
      </x:c>
      <x:c r="F4" s="6" t="n">
        <x:v>333.96</x:v>
      </x:c>
      <x:c r="G4" s="6" t="n">
        <x:v>7435.33</x:v>
      </x:c>
      <x:c r="H4" s="6" t="str">
        <x:v>RESTORED_RECONCILE_ONLY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</x:row>
    <x:row r="2">
      <x:c r="A2" s="6" t="str">
        <x:v>Baseline propulsion-equivalent demand</x:v>
      </x:c>
      <x:c r="B2" s="6" t="n">
        <x:v>9000</x:v>
      </x:c>
      <x:c r="C2" s="6" t="str">
        <x:v>TWh/yr</x:v>
      </x:c>
    </x:row>
    <x:row r="3">
      <x:c r="A3" s="6" t="str">
        <x:v>After efficiency/logistics</x:v>
      </x:c>
      <x:c r="B3" s="6" t="n">
        <x:v>7200</x:v>
      </x:c>
      <x:c r="C3" s="6" t="str">
        <x:v>TWh/yr</x:v>
      </x:c>
    </x:row>
    <x:row r="4">
      <x:c r="A4" s="6" t="str">
        <x:v>After wind assist</x:v>
      </x:c>
      <x:c r="B4" s="6" t="n">
        <x:v>6120</x:v>
      </x:c>
      <x:c r="C4" s="6" t="str">
        <x:v>TWh/yr</x:v>
      </x:c>
    </x:row>
    <x:row r="5">
      <x:c r="A5" s="6" t="str">
        <x:v>Battery-electric propulsion service</x:v>
      </x:c>
      <x:c r="B5" s="6" t="n">
        <x:v>918</x:v>
      </x:c>
      <x:c r="C5" s="6" t="str">
        <x:v>TWh/yr</x:v>
      </x:c>
    </x:row>
    <x:row r="6">
      <x:c r="A6" s="6" t="str">
        <x:v>Hydrogen-derived propulsion service</x:v>
      </x:c>
      <x:c r="B6" s="6" t="n">
        <x:v>2754</x:v>
      </x:c>
      <x:c r="C6" s="6" t="str">
        <x:v>TWh/yr</x:v>
      </x:c>
    </x:row>
    <x:row r="7">
      <x:c r="A7" s="6" t="str">
        <x:v>Synthetic-fuel propulsion service</x:v>
      </x:c>
      <x:c r="B7" s="6" t="n">
        <x:v>1836</x:v>
      </x:c>
      <x:c r="C7" s="6" t="str">
        <x:v>TWh/yr</x:v>
      </x:c>
    </x:row>
    <x:row r="8">
      <x:c r="A8" s="6" t="str">
        <x:v>Biofuel propulsion service</x:v>
      </x:c>
      <x:c r="B8" s="6" t="n">
        <x:v>612</x:v>
      </x:c>
      <x:c r="C8" s="6" t="str">
        <x:v>TWh/yr</x:v>
      </x:c>
    </x:row>
    <x:row r="9">
      <x:c r="A9" s="6" t="str">
        <x:v>Battery electricity</x:v>
      </x:c>
      <x:c r="B9" s="6" t="n">
        <x:v>1080</x:v>
      </x:c>
      <x:c r="C9" s="6" t="str">
        <x:v>TWh/yr</x:v>
      </x:c>
    </x:row>
    <x:row r="10">
      <x:c r="A10" s="6" t="str">
        <x:v>Hydrogen-derived fuel electricity</x:v>
      </x:c>
      <x:c r="B10" s="6" t="n">
        <x:v>7868.571428571429</x:v>
      </x:c>
      <x:c r="C10" s="6" t="str">
        <x:v>TWh/yr</x:v>
      </x:c>
    </x:row>
    <x:row r="11">
      <x:c r="A11" s="6" t="str">
        <x:v>Synthetic-fuel electricity</x:v>
      </x:c>
      <x:c r="B11" s="6" t="n">
        <x:v>6120</x:v>
      </x:c>
      <x:c r="C11" s="6" t="str">
        <x:v>TWh/yr</x:v>
      </x:c>
    </x:row>
    <x:row r="12">
      <x:c r="A12" s="6" t="str">
        <x:v>Biofuel processing electricity</x:v>
      </x:c>
      <x:c r="B12" s="6" t="n">
        <x:v>61.2</x:v>
      </x:c>
      <x:c r="C12" s="6" t="str">
        <x:v>TWh/yr</x:v>
      </x:c>
    </x:row>
    <x:row r="13">
      <x:c r="A13" s="6" t="str">
        <x:v>Total shipping electricity</x:v>
      </x:c>
      <x:c r="B13" s="6" t="n">
        <x:v>15129.77142857143</x:v>
      </x:c>
      <x:c r="C13" s="6" t="str">
        <x:v>TWh/yr</x:v>
      </x:c>
    </x:row>
    <x:row r="14">
      <x:c r="A14" s="6" t="str">
        <x:v>Legacy baseline shipping GHG</x:v>
      </x:c>
      <x:c r="B14" s="6" t="n">
        <x:v>1</x:v>
      </x:c>
      <x:c r="C14" s="6" t="str">
        <x:v>GtCO2e/yr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99" t="str">
        <x:v>technology</x:v>
      </x:c>
      <x:c r="B1" s="99" t="str">
        <x:v>power_gw</x:v>
      </x:c>
      <x:c r="C1" s="99" t="str">
        <x:v>duration_h</x:v>
      </x:c>
      <x:c r="D1" s="99" t="str">
        <x:v>energy_gwh</x:v>
      </x:c>
      <x:c r="E1" s="99" t="str">
        <x:v>roundtrip_efficiency</x:v>
      </x:c>
      <x:c r="F1" s="99" t="str">
        <x:v>cycles_yr</x:v>
      </x:c>
      <x:c r="G1" s="99" t="str">
        <x:v>annual_discharged_twh</x:v>
      </x:c>
      <x:c r="H1" s="99" t="str">
        <x:v>firm_credit</x:v>
      </x:c>
    </x:row>
    <x:row r="2">
      <x:c r="A2" s="6" t="str">
        <x:v>Li-ion / sodium batteries</x:v>
      </x:c>
      <x:c r="B2" s="6" t="n">
        <x:v>4500</x:v>
      </x:c>
      <x:c r="C2" s="6" t="n">
        <x:v>4</x:v>
      </x:c>
      <x:c r="D2" s="6" t="n">
        <x:v>18000</x:v>
      </x:c>
      <x:c r="E2" s="6" t="n">
        <x:v>0.85</x:v>
      </x:c>
      <x:c r="F2" s="6" t="n">
        <x:v>250</x:v>
      </x:c>
      <x:c r="G2" s="6" t="n">
        <x:v>3825</x:v>
      </x:c>
      <x:c r="H2" s="6" t="n">
        <x:v>0.9</x:v>
      </x:c>
    </x:row>
    <x:row r="3">
      <x:c r="A3" s="6" t="str">
        <x:v>Long-duration storage</x:v>
      </x:c>
      <x:c r="B3" s="6" t="n">
        <x:v>2500</x:v>
      </x:c>
      <x:c r="C3" s="6" t="n">
        <x:v>24</x:v>
      </x:c>
      <x:c r="D3" s="6" t="n">
        <x:v>60000</x:v>
      </x:c>
      <x:c r="E3" s="6" t="n">
        <x:v>0.65</x:v>
      </x:c>
      <x:c r="F3" s="6" t="n">
        <x:v>80</x:v>
      </x:c>
      <x:c r="G3" s="6" t="n">
        <x:v>3120</x:v>
      </x:c>
      <x:c r="H3" s="6" t="n">
        <x:v>0.8</x:v>
      </x:c>
    </x:row>
    <x:row r="4">
      <x:c r="A4" s="6" t="str">
        <x:v>Pumped hydro</x:v>
      </x:c>
      <x:c r="B4" s="6" t="n">
        <x:v>2200</x:v>
      </x:c>
      <x:c r="C4" s="6" t="n">
        <x:v>12</x:v>
      </x:c>
      <x:c r="D4" s="6" t="n">
        <x:v>26400</x:v>
      </x:c>
      <x:c r="E4" s="6" t="n">
        <x:v>0.8</x:v>
      </x:c>
      <x:c r="F4" s="6" t="n">
        <x:v>120</x:v>
      </x:c>
      <x:c r="G4" s="6" t="n">
        <x:v>2534.4</x:v>
      </x:c>
      <x:c r="H4" s="6" t="n">
        <x:v>0.9</x:v>
      </x:c>
    </x:row>
    <x:row r="5">
      <x:c r="A5" s="6" t="str">
        <x:v>Hydrogen / e-fuel power-to-power</x:v>
      </x:c>
      <x:c r="B5" s="6" t="n">
        <x:v>1500</x:v>
      </x:c>
      <x:c r="C5" s="6" t="n">
        <x:v>120</x:v>
      </x:c>
      <x:c r="D5" s="6" t="n">
        <x:v>180000</x:v>
      </x:c>
      <x:c r="E5" s="6" t="n">
        <x:v>0.35</x:v>
      </x:c>
      <x:c r="F5" s="6" t="n">
        <x:v>20</x:v>
      </x:c>
      <x:c r="G5" s="6" t="n">
        <x:v>1260</x:v>
      </x:c>
      <x:c r="H5" s="6" t="n">
        <x:v>0.95</x:v>
      </x:c>
    </x:row>
    <x:row r="6">
      <x:c r="A6" s="6" t="str">
        <x:v>Thermal / district heat storage</x:v>
      </x:c>
      <x:c r="B6" s="6" t="n">
        <x:v>1800</x:v>
      </x:c>
      <x:c r="C6" s="6" t="n">
        <x:v>10</x:v>
      </x:c>
      <x:c r="D6" s="6" t="n">
        <x:v>18000</x:v>
      </x:c>
      <x:c r="E6" s="6" t="n">
        <x:v>0.9</x:v>
      </x:c>
      <x:c r="F6" s="6" t="n">
        <x:v>150</x:v>
      </x:c>
      <x:c r="G6" s="6" t="n">
        <x:v>2430</x:v>
      </x:c>
      <x:c r="H6" s="6" t="n">
        <x:v>0.75</x:v>
      </x:c>
    </x:row>
    <x:row r="7">
      <x:c r="A7" s="6" t="str">
        <x:v>Smart EV / V2G</x:v>
      </x:c>
      <x:c r="B7" s="6" t="n">
        <x:v>3000</x:v>
      </x:c>
      <x:c r="C7" s="6" t="n">
        <x:v>3</x:v>
      </x:c>
      <x:c r="D7" s="6" t="n">
        <x:v>9000</x:v>
      </x:c>
      <x:c r="E7" s="6" t="n">
        <x:v>0.88</x:v>
      </x:c>
      <x:c r="F7" s="6" t="n">
        <x:v>120</x:v>
      </x:c>
      <x:c r="G7" s="6" t="n">
        <x:v>950.4</x:v>
      </x:c>
      <x:c r="H7" s="6" t="n">
        <x:v>0.55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>
      <x:c r="A1" s="99" t="str">
        <x:v>technology</x:v>
      </x:c>
      <x:c r="B1" s="99" t="str">
        <x:v>capacity_gw</x:v>
      </x:c>
      <x:c r="C1" s="99" t="str">
        <x:v>capacity_factor</x:v>
      </x:c>
      <x:c r="D1" s="99" t="str">
        <x:v>generation_twh_yr</x:v>
      </x:c>
      <x:c r="E1" s="99" t="str">
        <x:v>lifecycle_gco2_kwh</x:v>
      </x:c>
      <x:c r="F1" s="99" t="str">
        <x:v>capex_usd_kw</x:v>
      </x:c>
      <x:c r="G1" s="99" t="str">
        <x:v>firm_credit</x:v>
      </x:c>
      <x:c r="H1" s="99" t="str">
        <x:v>legacy_capex_cell_value_labeled_usd_bn</x:v>
      </x:c>
      <x:c r="I1" s="99" t="str">
        <x:v>formula_reconciled_capex_usd_bn</x:v>
      </x:c>
      <x:c r="J1" s="99" t="str">
        <x:v>unit_reconciliation_status</x:v>
      </x:c>
      <x:c r="K1" s="99" t="str">
        <x:v>status</x:v>
      </x:c>
    </x:row>
    <x:row r="2">
      <x:c r="A2" s="6" t="str">
        <x:v>New nuclear</x:v>
      </x:c>
      <x:c r="B2" s="6" t="n">
        <x:v>0</x:v>
      </x:c>
      <x:c r="C2" s="6" t="n">
        <x:v>0.9</x:v>
      </x:c>
      <x:c r="D2" s="6" t="n">
        <x:v>0</x:v>
      </x:c>
      <x:c r="E2" s="6" t="n">
        <x:v>12</x:v>
      </x:c>
      <x:c r="F2" s="6" t="n">
        <x:v>6500</x:v>
      </x:c>
      <x:c r="G2" s="6" t="n">
        <x:v>1</x:v>
      </x:c>
      <x:c r="H2" s="6" t="n">
        <x:v>0</x:v>
      </x:c>
      <x:c r="I2" s="6" t="n">
        <x:v>0</x:v>
      </x:c>
      <x:c r="J2" s="6" t="str">
        <x:v>OK</x:v>
      </x:c>
      <x:c r="K2" s="6" t="str">
        <x:v>RESTORED_OPTION_SCREEN</x:v>
      </x:c>
    </x:row>
    <x:row r="3">
      <x:c r="A3" s="6" t="str">
        <x:v>Enhanced geothermal</x:v>
      </x:c>
      <x:c r="B3" s="6" t="n">
        <x:v>500</x:v>
      </x:c>
      <x:c r="C3" s="6" t="n">
        <x:v>0.9</x:v>
      </x:c>
      <x:c r="D3" s="6" t="n">
        <x:v>3942</x:v>
      </x:c>
      <x:c r="E3" s="6" t="n">
        <x:v>20</x:v>
      </x:c>
      <x:c r="F3" s="6" t="n">
        <x:v>5000</x:v>
      </x:c>
      <x:c r="G3" s="6" t="n">
        <x:v>1</x:v>
      </x:c>
      <x:c r="H3" s="6" t="n">
        <x:v>2500000</x:v>
      </x:c>
      <x:c r="I3" s="6" t="n">
        <x:v>2500</x:v>
      </x:c>
      <x:c r="J3" s="6" t="str">
        <x:v>LEGACY_CAPEX_LABEL_APPEARS_1000X_HIGH</x:v>
      </x:c>
      <x:c r="K3" s="6" t="str">
        <x:v>RESTORED_OPTION_SCREEN</x:v>
      </x:c>
    </x:row>
    <x:row r="4">
      <x:c r="A4" s="6" t="str">
        <x:v>Hydro / pumped-turbine expansion</x:v>
      </x:c>
      <x:c r="B4" s="6" t="n">
        <x:v>400</x:v>
      </x:c>
      <x:c r="C4" s="6" t="n">
        <x:v>0.45</x:v>
      </x:c>
      <x:c r="D4" s="6" t="n">
        <x:v>1576.8</x:v>
      </x:c>
      <x:c r="E4" s="6" t="n">
        <x:v>24</x:v>
      </x:c>
      <x:c r="F4" s="6" t="n">
        <x:v>3500</x:v>
      </x:c>
      <x:c r="G4" s="6" t="n">
        <x:v>0.9</x:v>
      </x:c>
      <x:c r="H4" s="6" t="n">
        <x:v>1400000</x:v>
      </x:c>
      <x:c r="I4" s="6" t="n">
        <x:v>1400</x:v>
      </x:c>
      <x:c r="J4" s="6" t="str">
        <x:v>LEGACY_CAPEX_LABEL_APPEARS_1000X_HIGH</x:v>
      </x:c>
      <x:c r="K4" s="6" t="str">
        <x:v>RESTORED_OPTION_SCREEN</x:v>
      </x:c>
    </x:row>
    <x:row r="5">
      <x:c r="A5" s="6" t="str">
        <x:v>H2 / biomethane turbines</x:v>
      </x:c>
      <x:c r="B5" s="6" t="n">
        <x:v>500</x:v>
      </x:c>
      <x:c r="C5" s="6" t="n">
        <x:v>0.12</x:v>
      </x:c>
      <x:c r="D5" s="6" t="n">
        <x:v>525.6</x:v>
      </x:c>
      <x:c r="E5" s="6" t="n">
        <x:v>25</x:v>
      </x:c>
      <x:c r="F5" s="6" t="n">
        <x:v>1200</x:v>
      </x:c>
      <x:c r="G5" s="6" t="n">
        <x:v>0.9</x:v>
      </x:c>
      <x:c r="H5" s="6" t="n">
        <x:v>600000</x:v>
      </x:c>
      <x:c r="I5" s="6" t="n">
        <x:v>600</x:v>
      </x:c>
      <x:c r="J5" s="6" t="str">
        <x:v>LEGACY_CAPEX_LABEL_APPEARS_1000X_HIGH</x:v>
      </x:c>
      <x:c r="K5" s="6" t="str">
        <x:v>RESTORED_OPTION_SCREEN</x:v>
      </x:c>
    </x:row>
    <x:row r="6">
      <x:c r="A6" s="6" t="str">
        <x:v>Long-duration firming expansion</x:v>
      </x:c>
      <x:c r="B6" s="6" t="n">
        <x:v>800</x:v>
      </x:c>
      <x:c r="C6" s="6" t="n">
        <x:v>0.1</x:v>
      </x:c>
      <x:c r="D6" s="6" t="n">
        <x:v>700.8000000000001</x:v>
      </x:c>
      <x:c r="E6" s="6" t="n">
        <x:v>25</x:v>
      </x:c>
      <x:c r="F6" s="6" t="n">
        <x:v>2500</x:v>
      </x:c>
      <x:c r="G6" s="6" t="n">
        <x:v>0.8</x:v>
      </x:c>
      <x:c r="H6" s="6" t="n">
        <x:v>2000000</x:v>
      </x:c>
      <x:c r="I6" s="6" t="n">
        <x:v>2000</x:v>
      </x:c>
      <x:c r="J6" s="6" t="str">
        <x:v>LEGACY_CAPEX_LABEL_APPEARS_1000X_HIGH</x:v>
      </x:c>
      <x:c r="K6" s="6" t="str">
        <x:v>RESTORED_OPTION_SCREEN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  <x:col min="11" max="11" width="38" hidden="0" customWidth="1"/>
  </x:cols>
  <x:sheetData>
    <x:row r="1">
      <x:c r="A1" s="83" t="str">
        <x:v>shock</x:v>
      </x:c>
      <x:c r="B1" s="83" t="str">
        <x:v>annual_probability</x:v>
      </x:c>
      <x:c r="C1" s="83" t="str">
        <x:v>duration_years</x:v>
      </x:c>
      <x:c r="D1" s="83" t="str">
        <x:v>food_multiplier</x:v>
      </x:c>
      <x:c r="E1" s="83" t="str">
        <x:v>energy_multiplier</x:v>
      </x:c>
      <x:c r="F1" s="83" t="str">
        <x:v>gdp_multiplier</x:v>
      </x:c>
      <x:c r="G1" s="83" t="str">
        <x:v>infrastructure_cost_multiplier</x:v>
      </x:c>
      <x:c r="H1" s="83" t="str">
        <x:v>recovery_reserve_fraction</x:v>
      </x:c>
      <x:c r="I1" s="83" t="str">
        <x:v>legacy_threshold</x:v>
      </x:c>
      <x:c r="J1" s="83" t="str">
        <x:v>legacy_status</x:v>
      </x:c>
      <x:c r="K1" s="83" t="str">
        <x:v>v54_status</x:v>
      </x:c>
    </x:row>
    <x:row r="2">
      <x:c r="A2" s="6" t="str">
        <x:v>Major multi-region drought</x:v>
      </x:c>
      <x:c r="B2" s="6" t="n">
        <x:v>0.04</x:v>
      </x:c>
      <x:c r="C2" s="6" t="n">
        <x:v>2</x:v>
      </x:c>
      <x:c r="D2" s="6" t="n">
        <x:v>0.9</x:v>
      </x:c>
      <x:c r="E2" s="6" t="n">
        <x:v>0.98</x:v>
      </x:c>
      <x:c r="F2" s="6" t="n">
        <x:v>0.98</x:v>
      </x:c>
      <x:c r="G2" s="6" t="n">
        <x:v>1.05</x:v>
      </x:c>
      <x:c r="H2" s="6" t="n">
        <x:v>0.15</x:v>
      </x:c>
      <x:c r="I2" s="6" t="str">
        <x:v>&gt;=90% welfare coverage</x:v>
      </x:c>
      <x:c r="J2" s="6" t="str">
        <x:v>PASS</x:v>
      </x:c>
      <x:c r="K2" s="6" t="str">
        <x:v>RESTORED_STRESS_PARAMETER; LEGACY_PASS_NOT_REVALIDATED</x:v>
      </x:c>
    </x:row>
    <x:row r="3">
      <x:c r="A3" s="6" t="str">
        <x:v>Extreme renewable drought / dunkelflaute</x:v>
      </x:c>
      <x:c r="B3" s="6" t="n">
        <x:v>0.03</x:v>
      </x:c>
      <x:c r="C3" s="6" t="n">
        <x:v>0.05</x:v>
      </x:c>
      <x:c r="D3" s="6" t="n">
        <x:v>1</x:v>
      </x:c>
      <x:c r="E3" s="6" t="n">
        <x:v>0.9</x:v>
      </x:c>
      <x:c r="F3" s="6" t="n">
        <x:v>0.995</x:v>
      </x:c>
      <x:c r="G3" s="6" t="n">
        <x:v>1.03</x:v>
      </x:c>
      <x:c r="H3" s="6" t="n">
        <x:v>0.2</x:v>
      </x:c>
      <x:c r="I3" s="6" t="str">
        <x:v>&gt;=99.9% critical-load supply</x:v>
      </x:c>
      <x:c r="J3" s="6" t="str">
        <x:v>PASS</x:v>
      </x:c>
      <x:c r="K3" s="6" t="str">
        <x:v>RESTORED_STRESS_PARAMETER; LEGACY_PASS_NOT_REVALIDATED</x:v>
      </x:c>
    </x:row>
    <x:row r="4">
      <x:c r="A4" s="6" t="str">
        <x:v>Major trade fragmentation</x:v>
      </x:c>
      <x:c r="B4" s="6" t="n">
        <x:v>0.03</x:v>
      </x:c>
      <x:c r="C4" s="6" t="n">
        <x:v>5</x:v>
      </x:c>
      <x:c r="D4" s="6" t="n">
        <x:v>0.95</x:v>
      </x:c>
      <x:c r="E4" s="6" t="n">
        <x:v>0.96</x:v>
      </x:c>
      <x:c r="F4" s="6" t="n">
        <x:v>0.94</x:v>
      </x:c>
      <x:c r="G4" s="6" t="n">
        <x:v>1.1</x:v>
      </x:c>
      <x:c r="H4" s="6" t="n">
        <x:v>0.2</x:v>
      </x:c>
      <x:c r="I4" s="6" t="str">
        <x:v>&gt;=90% essentials regionalized</x:v>
      </x:c>
      <x:c r="J4" s="6" t="str">
        <x:v>PASS</x:v>
      </x:c>
      <x:c r="K4" s="6" t="str">
        <x:v>RESTORED_STRESS_PARAMETER; LEGACY_PASS_NOT_REVALIDATED</x:v>
      </x:c>
    </x:row>
    <x:row r="5">
      <x:c r="A5" s="6" t="str">
        <x:v>Pandemic-scale health shock</x:v>
      </x:c>
      <x:c r="B5" s="6" t="n">
        <x:v>0.02</x:v>
      </x:c>
      <x:c r="C5" s="6" t="n">
        <x:v>2</x:v>
      </x:c>
      <x:c r="D5" s="6" t="n">
        <x:v>0.98</x:v>
      </x:c>
      <x:c r="E5" s="6" t="n">
        <x:v>0.99</x:v>
      </x:c>
      <x:c r="F5" s="6" t="n">
        <x:v>0.95</x:v>
      </x:c>
      <x:c r="G5" s="6" t="n">
        <x:v>1.08</x:v>
      </x:c>
      <x:c r="H5" s="6" t="n">
        <x:v>0.2</x:v>
      </x:c>
      <x:c r="I5" s="6" t="str">
        <x:v>health surge reserve</x:v>
      </x:c>
      <x:c r="J5" s="6" t="str">
        <x:v>PASS</x:v>
      </x:c>
      <x:c r="K5" s="6" t="str">
        <x:v>RESTORED_STRESS_PARAMETER; LEGACY_PASS_NOT_REVALIDATED</x:v>
      </x:c>
    </x:row>
    <x:row r="6">
      <x:c r="A6" s="6" t="str">
        <x:v>Technology deployment delay</x:v>
      </x:c>
      <x:c r="B6" s="6" t="n">
        <x:v>0.1</x:v>
      </x:c>
      <x:c r="C6" s="6" t="n">
        <x:v>5</x:v>
      </x:c>
      <x:c r="D6" s="6" t="n">
        <x:v>0.97</x:v>
      </x:c>
      <x:c r="E6" s="6" t="n">
        <x:v>0.94</x:v>
      </x:c>
      <x:c r="F6" s="6" t="n">
        <x:v>0.97</x:v>
      </x:c>
      <x:c r="G6" s="6" t="n">
        <x:v>1.15</x:v>
      </x:c>
      <x:c r="H6" s="6" t="n">
        <x:v>0.25</x:v>
      </x:c>
      <x:c r="I6" s="6" t="str">
        <x:v>carbon target slips rather than welfare failure</x:v>
      </x:c>
      <x:c r="J6" s="6" t="str">
        <x:v>PASS</x:v>
      </x:c>
      <x:c r="K6" s="6" t="str">
        <x:v>RESTORED_STRESS_PARAMETER; LEGACY_PASS_NOT_REVALIDATED</x:v>
      </x:c>
    </x:row>
    <x:row r="7">
      <x:c r="A7" s="6" t="str">
        <x:v>Severe wildfire / forest reversal year</x:v>
      </x:c>
      <x:c r="B7" s="6" t="n">
        <x:v>0.05</x:v>
      </x:c>
      <x:c r="C7" s="6" t="n">
        <x:v>1</x:v>
      </x:c>
      <x:c r="D7" s="6" t="n">
        <x:v>0.99</x:v>
      </x:c>
      <x:c r="E7" s="6" t="n">
        <x:v>0.99</x:v>
      </x:c>
      <x:c r="F7" s="6" t="n">
        <x:v>0.995</x:v>
      </x:c>
      <x:c r="G7" s="6" t="n">
        <x:v>1.03</x:v>
      </x:c>
      <x:c r="H7" s="6" t="n">
        <x:v>0.15</x:v>
      </x:c>
      <x:c r="I7" s="6" t="str">
        <x:v>durable CDR portfolio diversified</x:v>
      </x:c>
      <x:c r="J7" s="6" t="str">
        <x:v>PASS</x:v>
      </x:c>
      <x:c r="K7" s="6" t="str">
        <x:v>RESTORED_STRESS_PARAMETER; LEGACY_PASS_NOT_REVALIDATED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0" hidden="0" customWidth="1"/>
    <x:col min="5" max="5" width="38" hidden="0" customWidth="1"/>
  </x:cols>
  <x:sheetData>
    <x:row r="1">
      <x:c r="A1" s="87" t="str">
        <x:v>mechanism</x:v>
      </x:c>
      <x:c r="B1" s="87" t="str">
        <x:v>formula</x:v>
      </x:c>
      <x:c r="C1" s="87" t="str">
        <x:v>coin_supply_effect</x:v>
      </x:c>
      <x:c r="D1" s="87" t="str">
        <x:v>safeguard</x:v>
      </x:c>
      <x:c r="E1" s="87" t="str">
        <x:v>model_treatment</x:v>
      </x:c>
    </x:row>
    <x:row r="2">
      <x:c r="A2" s="6" t="str">
        <x:v>National Natural-Capital Reserve</x:v>
      </x:c>
      <x:c r="B2" s="6" t="str">
        <x:v>audited timber NPV + verified durable carbon value x permanence haircut</x:v>
      </x:c>
      <x:c r="C2" s="6" t="str">
        <x:v>No automatic money creation</x:v>
      </x:c>
      <x:c r="D2" s="6" t="str">
        <x:v>Independent audit + fire/drought buffer</x:v>
      </x:c>
      <x:c r="E2" s="6" t="str">
        <x:v>RESTORED_POLICY</x:v>
      </x:c>
    </x:row>
    <x:row r="3">
      <x:c r="A3" s="6" t="str">
        <x:v>Planting-contract revenue</x:v>
      </x:c>
      <x:c r="B3" s="6" t="str">
        <x:v>climate fund pays verified additional planting/restoration removal</x:v>
      </x:c>
      <x:c r="C3" s="6" t="str">
        <x:v>No supply change</x:v>
      </x:c>
      <x:c r="D3" s="6" t="str">
        <x:v>additionality + survival monitoring</x:v>
      </x:c>
      <x:c r="E3" s="6" t="str">
        <x:v>RESTORED_POLICY</x:v>
      </x:c>
    </x:row>
    <x:row r="4">
      <x:c r="A4" s="6" t="str">
        <x:v>Growth dividend</x:v>
      </x:c>
      <x:c r="B4" s="6" t="str">
        <x:v>optional issuance only after measured biomass gain</x:v>
      </x:c>
      <x:c r="C4" s="6" t="str">
        <x:v>capped and sterilized by fee-burn/global supply rule</x:v>
      </x:c>
      <x:c r="D4" s="6" t="str">
        <x:v>global inflation ceiling</x:v>
      </x:c>
      <x:c r="E4" s="6" t="str">
        <x:v>RESTORED_OPTION</x:v>
      </x:c>
    </x:row>
    <x:row r="5">
      <x:c r="A5" s="6" t="str">
        <x:v>Harvest-to-durable-storage rule</x:v>
      </x:c>
      <x:c r="B5" s="6" t="str">
        <x:v>harvest only if right retired or carbon routed to long-lived product/wood vault</x:v>
      </x:c>
      <x:c r="C5" s="6" t="str">
        <x:v>supply neutral or coin burn</x:v>
      </x:c>
      <x:c r="D5" s="6" t="str">
        <x:v>chain of custody</x:v>
      </x:c>
      <x:c r="E5" s="6" t="str">
        <x:v>RESTORED_POLICY</x:v>
      </x:c>
    </x:row>
    <x:row r="6">
      <x:c r="A6" s="6" t="str">
        <x:v>Permanence pool</x:v>
      </x:c>
      <x:c r="B6" s="6" t="str">
        <x:v>10–20% unassigned forest/carbon buffer</x:v>
      </x:c>
      <x:c r="C6" s="6" t="str">
        <x:v>none</x:v>
      </x:c>
      <x:c r="D6" s="6" t="str">
        <x:v>geographic diversification + MRV</x:v>
      </x:c>
      <x:c r="E6" s="6" t="str">
        <x:v>RESTORED_REQUIRED_BUFFER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03" t="str">
        <x:v>rule</x:v>
      </x:c>
      <x:c r="B1" s="103" t="str">
        <x:v>purpose</x:v>
      </x:c>
    </x:row>
    <x:row r="2">
      <x:c r="A2" s="6" t="str">
        <x:v>M_i^USD = BroadMoney_i / FX_i</x:v>
      </x:c>
      <x:c r="B2" s="6" t="str">
        <x:v>measure existing monetary stock in common value</x:v>
      </x:c>
    </x:row>
    <x:row r="3">
      <x:c r="A3" s="6" t="str">
        <x:v>Share_i = M_i^USD / sum(M_j^USD)</x:v>
      </x:c>
      <x:c r="B3" s="6" t="str">
        <x:v>preserve relative monetary wealth</x:v>
      </x:c>
    </x:row>
    <x:row r="4">
      <x:c r="A4" s="6" t="str">
        <x:v>Coins_i = TotalGenesis x Share_i</x:v>
      </x:c>
      <x:c r="B4" s="6" t="str">
        <x:v>proportional conversion to existing holders</x:v>
      </x:c>
    </x:row>
    <x:row r="5">
      <x:c r="A5" s="6" t="str">
        <x:v>Government reserve tranche converted separately</x:v>
      </x:c>
      <x:c r="B5" s="6" t="str">
        <x:v>preserve sovereign reserve assets</x:v>
      </x:c>
    </x:row>
    <x:row r="6">
      <x:c r="A6" s="6" t="str">
        <x:v>90-day pre-announced FX averaging</x:v>
      </x:c>
      <x:c r="B6" s="6" t="str">
        <x:v>limit one-day manipulation</x:v>
      </x:c>
    </x:row>
    <x:row r="7">
      <x:c r="A7" s="6" t="str">
        <x:v>Immediate national wealth impact approximately zero by construction</x:v>
      </x:c>
      <x:c r="B7" s="6" t="str">
        <x:v>avoid arbitrary transfer between nations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</x:cols>
  <x:sheetData>
    <x:row r="1">
      <x:c r="A1" s="103" t="str">
        <x:v>archetype</x:v>
      </x:c>
      <x:c r="B1" s="103" t="str">
        <x:v>eligible_land_index</x:v>
      </x:c>
      <x:c r="C1" s="103" t="str">
        <x:v>growth_index</x:v>
      </x:c>
      <x:c r="D1" s="103" t="str">
        <x:v>permanence_index</x:v>
      </x:c>
      <x:c r="E1" s="103" t="str">
        <x:v>ecology_water_safeguard</x:v>
      </x:c>
      <x:c r="F1" s="103" t="str">
        <x:v>adjusted_tree_removal_index</x:v>
      </x:c>
      <x:c r="G1" s="103" t="str">
        <x:v>complement</x:v>
      </x:c>
    </x:row>
    <x:row r="2">
      <x:c r="A2" s="6" t="str">
        <x:v>Saudi-type arid/land constrained</x:v>
      </x:c>
      <x:c r="B2" s="6" t="n">
        <x:v>0.1</x:v>
      </x:c>
      <x:c r="C2" s="6" t="n">
        <x:v>0.3</x:v>
      </x:c>
      <x:c r="D2" s="6" t="n">
        <x:v>0.85</x:v>
      </x:c>
      <x:c r="E2" s="6" t="n">
        <x:v>0.8</x:v>
      </x:c>
      <x:c r="F2" s="6" t="n">
        <x:v>0.0204</x:v>
      </x:c>
      <x:c r="G2" s="6" t="str">
        <x:v>solar DAC + mineral carbonation + storage/finance</x:v>
      </x:c>
    </x:row>
    <x:row r="3">
      <x:c r="A3" s="6" t="str">
        <x:v>Canada/Russia-type boreal</x:v>
      </x:c>
      <x:c r="B3" s="6" t="n">
        <x:v>1.5</x:v>
      </x:c>
      <x:c r="C3" s="6" t="n">
        <x:v>0.6</x:v>
      </x:c>
      <x:c r="D3" s="6" t="n">
        <x:v>0.75</x:v>
      </x:c>
      <x:c r="E3" s="6" t="n">
        <x:v>0.9</x:v>
      </x:c>
      <x:c r="F3" s="6" t="n">
        <x:v>0.6075</x:v>
      </x:c>
      <x:c r="G3" s="6" t="str">
        <x:v>boreal restoration + wood/BiCRS + DAC/mineralization</x:v>
      </x:c>
    </x:row>
    <x:row r="4">
      <x:c r="A4" s="6" t="str">
        <x:v>Brazil-type tropical</x:v>
      </x:c>
      <x:c r="B4" s="6" t="n">
        <x:v>1</x:v>
      </x:c>
      <x:c r="C4" s="6" t="n">
        <x:v>1.6</x:v>
      </x:c>
      <x:c r="D4" s="6" t="n">
        <x:v>0.65</x:v>
      </x:c>
      <x:c r="E4" s="6" t="n">
        <x:v>0.85</x:v>
      </x:c>
      <x:c r="F4" s="6" t="n">
        <x:v>0.884</x:v>
      </x:c>
      <x:c r="G4" s="6" t="str">
        <x:v>native restoration + biochar + avoided degradation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07" t="str">
        <x:v>system</x:v>
      </x:c>
      <x:c r="B1" s="107" t="str">
        <x:v>can_coexist</x:v>
      </x:c>
      <x:c r="C1" s="107" t="str">
        <x:v>un_core_control</x:v>
      </x:c>
      <x:c r="D1" s="107" t="str">
        <x:v>national_regulation</x:v>
      </x:c>
      <x:c r="E1" s="107" t="str">
        <x:v>sanctions</x:v>
      </x:c>
      <x:c r="F1" s="107" t="str">
        <x:v>climate_finance_leakage</x:v>
      </x:c>
      <x:c r="G1" s="107" t="str">
        <x:v>legacy_share</x:v>
      </x:c>
    </x:row>
    <x:row r="2">
      <x:c r="A2" s="6" t="str">
        <x:v>Treaty-governed global settlement currency</x:v>
      </x:c>
      <x:c r="B2" s="6" t="str">
        <x:v>YES</x:v>
      </x:c>
      <x:c r="C2" s="6" t="str">
        <x:v>Treaty-governed</x:v>
      </x:c>
      <x:c r="D2" s="6" t="str">
        <x:v>YES</x:v>
      </x:c>
      <x:c r="E2" s="6" t="str">
        <x:v>UN-only sanctions at core in primary design</x:v>
      </x:c>
      <x:c r="F2" s="6" t="str">
        <x:v>None on participating flows</x:v>
      </x:c>
      <x:c r="G2" s="6" t="str">
        <x:v>95% central participation</x:v>
      </x:c>
    </x:row>
    <x:row r="3">
      <x:c r="A3" s="6" t="str">
        <x:v>Bitcoin / permissionless crypto</x:v>
      </x:c>
      <x:c r="B3" s="6" t="str">
        <x:v>YES</x:v>
      </x:c>
      <x:c r="C3" s="6" t="str">
        <x:v>NO</x:v>
      </x:c>
      <x:c r="D3" s="6" t="str">
        <x:v>Jurisdiction-dependent</x:v>
      </x:c>
      <x:c r="E3" s="6" t="str">
        <x:v>UN protocol itself cannot freeze permissionless protocol; regulated intermediaries remain subject to law</x:v>
      </x:c>
      <x:c r="F3" s="6" t="str">
        <x:v>Some flows can bypass climate fees</x:v>
      </x:c>
      <x:c r="G3" s="6" t="str">
        <x:v>part of 5% parallel-flow sensitivity</x:v>
      </x:c>
    </x:row>
    <x:row r="4">
      <x:c r="A4" s="6" t="str">
        <x:v>Dollar/euro/local-currency side settlement</x:v>
      </x:c>
      <x:c r="B4" s="6" t="str">
        <x:v>YES during transition</x:v>
      </x:c>
      <x:c r="C4" s="6" t="str">
        <x:v>NO</x:v>
      </x:c>
      <x:c r="D4" s="6" t="str">
        <x:v>YES</x:v>
      </x:c>
      <x:c r="E4" s="6" t="str">
        <x:v>state legal systems apply</x:v>
      </x:c>
      <x:c r="F4" s="6" t="str">
        <x:v>reduces fee base</x:v>
      </x:c>
      <x:c r="G4" s="6" t="str">
        <x:v>transition sensitivity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8" hidden="0" customWidth="1"/>
  </x:cols>
  <x:sheetData>
    <x:row r="1">
      <x:c r="A1" s="107" t="str">
        <x:v>mode</x:v>
      </x:c>
      <x:c r="B1" s="107" t="str">
        <x:v>treatment</x:v>
      </x:c>
      <x:c r="C1" s="107" t="str">
        <x:v>implication</x:v>
      </x:c>
    </x:row>
    <x:row r="2">
      <x:c r="A2" s="6" t="str">
        <x:v>UN-only sanctions at core</x:v>
      </x:c>
      <x:c r="B2" s="6" t="str">
        <x:v>PRIMARY TREATY DESIGN</x:v>
      </x:c>
      <x:c r="C2" s="6" t="str">
        <x:v>narrow Security Council Article 41 path; no unilateral private/single-country freeze at core</x:v>
      </x:c>
    </x:row>
    <x:row r="3">
      <x:c r="A3" s="6" t="str">
        <x:v>Protocol-neutral core</x:v>
      </x:c>
      <x:c r="B3" s="6" t="str">
        <x:v>TECHNICALLY POSSIBLE / LEGALLY COMPLEX</x:v>
      </x:c>
      <x:c r="C3" s="6" t="str">
        <x:v>member states may still be obliged to implement mandatory UN sanctions outside protocol core</x:v>
      </x:c>
    </x:row>
    <x:row r="4">
      <x:c r="A4" s="6" t="str">
        <x:v>National-sanctions mode</x:v>
      </x:c>
      <x:c r="B4" s="6" t="str">
        <x:v>NOT RECOMMENDED</x:v>
      </x:c>
      <x:c r="C4" s="6" t="str">
        <x:v>fragmentation and geopolitical weaponization risk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  <x:col min="5" max="5" width="38" hidden="0" customWidth="1"/>
  </x:cols>
  <x:sheetData>
    <x:row r="1">
      <x:c r="A1" s="107" t="str">
        <x:v>metric</x:v>
      </x:c>
      <x:c r="B1" s="107" t="str">
        <x:v>value</x:v>
      </x:c>
      <x:c r="C1" s="107" t="str">
        <x:v>unit</x:v>
      </x:c>
      <x:c r="D1" s="107" t="str">
        <x:v>status</x:v>
      </x:c>
      <x:c r="E1" s="107" t="str">
        <x:v>treatment</x:v>
      </x:c>
    </x:row>
    <x:row r="2">
      <x:c r="A2" s="6" t="str">
        <x:v>US dollar share of disclosed FX reserves, 2026Q1</x:v>
      </x:c>
      <x:c r="B2" s="6" t="n">
        <x:v>57.13</x:v>
      </x:c>
      <x:c r="C2" s="6" t="str">
        <x:v>percent</x:v>
      </x:c>
      <x:c r="D2" s="6" t="str">
        <x:v>OBSERVED_LEGACY_SOURCE</x:v>
      </x:c>
      <x:c r="E2" s="6" t="str">
        <x:v>Explicit constraint; de-dollarization not assumed inevitable</x:v>
      </x:c>
    </x:row>
    <x:row r="3">
      <x:c r="A3" s="6" t="str">
        <x:v>US dollar reserve share, 2001 peak</x:v>
      </x:c>
      <x:c r="B3" s="6" t="n">
        <x:v>72</x:v>
      </x:c>
      <x:c r="C3" s="6" t="str">
        <x:v>percent</x:v>
      </x:c>
      <x:c r="D3" s="6" t="str">
        <x:v>HISTORICAL_BENCHMARK</x:v>
      </x:c>
      <x:c r="E3" s="6" t="str">
        <x:v>Long-run diversification context</x:v>
      </x:c>
    </x:row>
    <x:row r="4">
      <x:c r="A4" s="6" t="str">
        <x:v>US international-currency usage index, 2024</x:v>
      </x:c>
      <x:c r="B4" s="6" t="n">
        <x:v>64.9</x:v>
      </x:c>
      <x:c r="C4" s="6" t="str">
        <x:v>index percent</x:v>
      </x:c>
      <x:c r="D4" s="6" t="str">
        <x:v>OBSERVED_LEGACY_SOURCE</x:v>
      </x:c>
      <x:c r="E4" s="6" t="str">
        <x:v>Transition must be coordinated rather than assumed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107" t="str">
        <x:v>metric</x:v>
      </x:c>
      <x:c r="B1" s="107" t="str">
        <x:v>value</x:v>
      </x:c>
      <x:c r="C1" s="107" t="str">
        <x:v>unit</x:v>
      </x:c>
    </x:row>
    <x:row r="2">
      <x:c r="A2" s="6" t="str">
        <x:v>Current global payments revenue</x:v>
      </x:c>
      <x:c r="B2" s="6" t="n">
        <x:v>2.5</x:v>
      </x:c>
      <x:c r="C2" s="6" t="str">
        <x:v>USD tn/yr</x:v>
      </x:c>
    </x:row>
    <x:row r="3">
      <x:c r="A3" s="6" t="str">
        <x:v>Current world GDP reference</x:v>
      </x:c>
      <x:c r="B3" s="6" t="n">
        <x:v>110.98</x:v>
      </x:c>
      <x:c r="C3" s="6" t="str">
        <x:v>USD tn/yr</x:v>
      </x:c>
    </x:row>
    <x:row r="4">
      <x:c r="A4" s="6" t="str">
        <x:v>Legacy observed payments-revenue burden</x:v>
      </x:c>
      <x:c r="B4" s="6" t="n">
        <x:v>0.022526581366011895</x:v>
      </x:c>
      <x:c r="C4" s="6" t="str">
        <x:v>fraction GDP</x:v>
      </x:c>
    </x:row>
    <x:row r="5">
      <x:c r="A5" s="6" t="str">
        <x:v>Current V53.1 settlement envelope</x:v>
      </x:c>
      <x:c r="B5" s="6" t="n">
        <x:v>0.0214</x:v>
      </x:c>
      <x:c r="C5" s="6" t="str">
        <x:v>fraction GDP</x:v>
      </x:c>
    </x:row>
    <x:row r="6">
      <x:c r="A6" s="6" t="str">
        <x:v>Protected basic food payments</x:v>
      </x:c>
      <x:c r="B6" s="6" t="str">
        <x:v>fee-free</x:v>
      </x:c>
      <x:c r="C6" s="6" t="str">
        <x:v>policy</x:v>
      </x:c>
    </x:row>
    <x:row r="7">
      <x:c r="A7" s="6" t="str">
        <x:v>Protected health payments</x:v>
      </x:c>
      <x:c r="B7" s="6" t="str">
        <x:v>fee-free / no climate surcharge</x:v>
      </x:c>
      <x:c r="C7" s="6" t="str">
        <x:v>policy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>
      <x:c r="A1" s="91" t="str">
        <x:v>budget_item</x:v>
      </x:c>
      <x:c r="B1" s="91" t="str">
        <x:v>usd_person_yr</x:v>
      </x:c>
      <x:c r="C1" s="91" t="str">
        <x:v>planning_population_b</x:v>
      </x:c>
      <x:c r="D1" s="91" t="str">
        <x:v>annual_resource_envelope_usd_tn</x:v>
      </x:c>
      <x:c r="E1" s="91" t="str">
        <x:v>share_mature_gdp</x:v>
      </x:c>
      <x:c r="F1" s="91" t="str">
        <x:v>fee_treatment</x:v>
      </x:c>
    </x:row>
    <x:row r="2">
      <x:c r="A2" s="6" t="str">
        <x:v>Healthy-food allowance</x:v>
      </x:c>
      <x:c r="B2" s="6" t="n">
        <x:v>1800</x:v>
      </x:c>
      <x:c r="C2" s="6" t="n">
        <x:v>10.3</x:v>
      </x:c>
      <x:c r="D2" s="6" t="n">
        <x:v>18.54</x:v>
      </x:c>
      <x:c r="E2" s="6" t="n">
        <x:v>0.06</x:v>
      </x:c>
      <x:c r="F2" s="6" t="str">
        <x:v>basic-food payments fee-free</x:v>
      </x:c>
    </x:row>
    <x:row r="3">
      <x:c r="A3" s="6" t="str">
        <x:v>Universal basic health-care allowance</x:v>
      </x:c>
      <x:c r="B3" s="6" t="n">
        <x:v>2500</x:v>
      </x:c>
      <x:c r="C3" s="6" t="n">
        <x:v>10.3</x:v>
      </x:c>
      <x:c r="D3" s="6" t="n">
        <x:v>25.75</x:v>
      </x:c>
      <x:c r="E3" s="6" t="n">
        <x:v>0.08333333333333333</x:v>
      </x:c>
      <x:c r="F3" s="6" t="str">
        <x:v>health payments fee-free; no climate surcharge</x:v>
      </x:c>
    </x:row>
    <x:row r="4">
      <x:c r="A4" s="6" t="str">
        <x:v>Combined food + health</x:v>
      </x:c>
      <x:c r="B4" s="6"/>
      <x:c r="C4" s="6" t="n">
        <x:v>10.3</x:v>
      </x:c>
      <x:c r="D4" s="6" t="n">
        <x:v>44.29</x:v>
      </x:c>
      <x:c r="E4" s="6" t="n">
        <x:v>0.14333333333333334</x:v>
      </x:c>
      <x:c r="F4" s="6" t="str">
        <x:v>inside decent-living economy, not added to climate transaction fee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>
      <x:c r="A1" s="95" t="str">
        <x:v>metric</x:v>
      </x:c>
      <x:c r="B1" s="95" t="str">
        <x:v>current_2025</x:v>
      </x:c>
      <x:c r="C1" s="95" t="str">
        <x:v>2030</x:v>
      </x:c>
      <x:c r="D1" s="95" t="str">
        <x:v>growth_or_share</x:v>
      </x:c>
      <x:c r="E1" s="95" t="str">
        <x:v>unit</x:v>
      </x:c>
      <x:c r="F1" s="95" t="str">
        <x:v>status</x:v>
      </x:c>
    </x:row>
    <x:row r="2">
      <x:c r="A2" s="6" t="str">
        <x:v>Global data-center capacity demand</x:v>
      </x:c>
      <x:c r="B2" s="6" t="n">
        <x:v>82</x:v>
      </x:c>
      <x:c r="C2" s="6" t="n">
        <x:v>219</x:v>
      </x:c>
      <x:c r="D2" s="6" t="n">
        <x:v>0.217099</x:v>
      </x:c>
      <x:c r="E2" s="6" t="str">
        <x:v>GW / CAGR</x:v>
      </x:c>
      <x:c r="F2" s="6" t="str">
        <x:v>RESTORED_LEGACY_MARKET_ANCHOR</x:v>
      </x:c>
    </x:row>
    <x:row r="3">
      <x:c r="A3" s="6" t="str">
        <x:v>AI data-center capacity demand</x:v>
      </x:c>
      <x:c r="B3" s="6" t="n">
        <x:v>44</x:v>
      </x:c>
      <x:c r="C3" s="6" t="n">
        <x:v>156</x:v>
      </x:c>
      <x:c r="D3" s="6" t="n">
        <x:v>0.288055</x:v>
      </x:c>
      <x:c r="E3" s="6" t="str">
        <x:v>GW / CAGR</x:v>
      </x:c>
      <x:c r="F3" s="6" t="str">
        <x:v>RESTORED_LEGACY_MARKET_ANCHOR</x:v>
      </x:c>
    </x:row>
    <x:row r="4">
      <x:c r="A4" s="6" t="str">
        <x:v>Cumulative data-center capex through 2030</x:v>
      </x:c>
      <x:c r="B4" s="6"/>
      <x:c r="C4" s="6" t="n">
        <x:v>6.7</x:v>
      </x:c>
      <x:c r="D4" s="6"/>
      <x:c r="E4" s="6" t="str">
        <x:v>USD tn</x:v>
      </x:c>
      <x:c r="F4" s="6" t="str">
        <x:v>RESTORED_LEGACY_MARKET_ANCHOR</x:v>
      </x:c>
    </x:row>
    <x:row r="5">
      <x:c r="A5" s="6" t="str">
        <x:v>AI-specific cumulative capex through 2030</x:v>
      </x:c>
      <x:c r="B5" s="6"/>
      <x:c r="C5" s="6" t="n">
        <x:v>5.2</x:v>
      </x:c>
      <x:c r="D5" s="6" t="n">
        <x:v>0.7761194029850746</x:v>
      </x:c>
      <x:c r="E5" s="6" t="str">
        <x:v>USD tn / share</x:v>
      </x:c>
      <x:c r="F5" s="6" t="str">
        <x:v>RESTORED_LEGACY_MARKET_ANCHOR</x:v>
      </x:c>
    </x:row>
    <x:row r="6">
      <x:c r="A6" s="6" t="str">
        <x:v>Global data-center electricity demand</x:v>
      </x:c>
      <x:c r="B6" s="6" t="n">
        <x:v>485</x:v>
      </x:c>
      <x:c r="C6" s="6" t="n">
        <x:v>950</x:v>
      </x:c>
      <x:c r="D6" s="6" t="n">
        <x:v>0.143922</x:v>
      </x:c>
      <x:c r="E6" s="6" t="str">
        <x:v>TWh/yr / CAGR</x:v>
      </x:c>
      <x:c r="F6" s="6" t="str">
        <x:v>RESTORED_LEGACY_MARKET_ANCHOR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  <x:c r="D1" s="95" t="str">
        <x:v>status</x:v>
      </x:c>
    </x:row>
    <x:row r="2">
      <x:c r="A2" s="6" t="str">
        <x:v>Baseline Year-20 network sites</x:v>
      </x:c>
      <x:c r="B2" s="6" t="n">
        <x:v>20000</x:v>
      </x:c>
      <x:c r="C2" s="6" t="str">
        <x:v>sites</x:v>
      </x:c>
      <x:c r="D2" s="6" t="str">
        <x:v>INTERNAL_MODEL</x:v>
      </x:c>
    </x:row>
    <x:row r="3">
      <x:c r="A3" s="6" t="str">
        <x:v>Standard GPU configuration</x:v>
      </x:c>
      <x:c r="B3" s="6" t="n">
        <x:v>35</x:v>
      </x:c>
      <x:c r="C3" s="6" t="str">
        <x:v>B300 GPUs/site</x:v>
      </x:c>
      <x:c r="D3" s="6" t="str">
        <x:v>INTERNAL_MODEL</x:v>
      </x:c>
    </x:row>
    <x:row r="4">
      <x:c r="A4" s="6" t="str">
        <x:v>Parent Year-20 EBITDA</x:v>
      </x:c>
      <x:c r="B4" s="6" t="n">
        <x:v>5.62</x:v>
      </x:c>
      <x:c r="C4" s="6" t="str">
        <x:v>USD bn/yr</x:v>
      </x:c>
      <x:c r="D4" s="6" t="str">
        <x:v>INTERNAL_MODEL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  <x:c r="D1" s="95" t="str">
        <x:v>status</x:v>
      </x:c>
    </x:row>
    <x:row r="2">
      <x:c r="A2" s="6" t="str">
        <x:v>Municipalities in project scope</x:v>
      </x:c>
      <x:c r="B2" s="6" t="n">
        <x:v>8</x:v>
      </x:c>
      <x:c r="C2" s="6" t="str">
        <x:v>municipalities</x:v>
      </x:c>
      <x:c r="D2" s="6" t="str">
        <x:v>DESIGN_MODEL</x:v>
      </x:c>
    </x:row>
    <x:row r="3">
      <x:c r="A3" s="6" t="str">
        <x:v>Distributed data centers</x:v>
      </x:c>
      <x:c r="B3" s="6" t="n">
        <x:v>6</x:v>
      </x:c>
      <x:c r="C3" s="6" t="str">
        <x:v>facilities</x:v>
      </x:c>
      <x:c r="D3" s="6" t="str">
        <x:v>DESIGN_MODEL</x:v>
      </x:c>
    </x:row>
    <x:row r="4">
      <x:c r="A4" s="6" t="str">
        <x:v>Continuous IT load</x:v>
      </x:c>
      <x:c r="B4" s="6" t="n">
        <x:v>35.74</x:v>
      </x:c>
      <x:c r="C4" s="6" t="str">
        <x:v>MW</x:v>
      </x:c>
      <x:c r="D4" s="6" t="str">
        <x:v>DESIGN_MODEL</x:v>
      </x:c>
    </x:row>
    <x:row r="5">
      <x:c r="A5" s="6" t="str">
        <x:v>Reference PUE</x:v>
      </x:c>
      <x:c r="B5" s="6" t="n">
        <x:v>1.45</x:v>
      </x:c>
      <x:c r="C5" s="6" t="str">
        <x:v>PUE</x:v>
      </x:c>
      <x:c r="D5" s="6" t="str">
        <x:v>DESIGN_MODEL</x:v>
      </x:c>
    </x:row>
    <x:row r="6">
      <x:c r="A6" s="6" t="str">
        <x:v>Project PUE</x:v>
      </x:c>
      <x:c r="B6" s="6" t="n">
        <x:v>1.223</x:v>
      </x:c>
      <x:c r="C6" s="6" t="str">
        <x:v>PUE</x:v>
      </x:c>
      <x:c r="D6" s="6" t="str">
        <x:v>DESIGN_MODEL</x:v>
      </x:c>
    </x:row>
    <x:row r="7">
      <x:c r="A7" s="6" t="str">
        <x:v>Recoverable data-center heat</x:v>
      </x:c>
      <x:c r="B7" s="6" t="n">
        <x:v>275.6</x:v>
      </x:c>
      <x:c r="C7" s="6" t="str">
        <x:v>GWh/yr</x:v>
      </x:c>
      <x:c r="D7" s="6" t="str">
        <x:v>DESIGN_MODEL</x:v>
      </x:c>
    </x:row>
    <x:row r="8">
      <x:c r="A8" s="6" t="str">
        <x:v>Useful recovered heat</x:v>
      </x:c>
      <x:c r="B8" s="6" t="n">
        <x:v>239.8</x:v>
      </x:c>
      <x:c r="C8" s="6" t="str">
        <x:v>GWh/yr</x:v>
      </x:c>
      <x:c r="D8" s="6" t="str">
        <x:v>DESIGN_MODEL</x:v>
      </x:c>
    </x:row>
    <x:row r="9">
      <x:c r="A9" s="6" t="str">
        <x:v>District heat delivered</x:v>
      </x:c>
      <x:c r="B9" s="6" t="n">
        <x:v>51.4</x:v>
      </x:c>
      <x:c r="C9" s="6" t="str">
        <x:v>GWh/yr</x:v>
      </x:c>
      <x:c r="D9" s="6" t="str">
        <x:v>DESIGN_MODEL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83" t="str">
        <x:v>target_role</x:v>
      </x:c>
      <x:c r="B1" s="83" t="str">
        <x:v>share</x:v>
      </x:c>
      <x:c r="C1" s="83" t="str">
        <x:v>affected_workers_million</x:v>
      </x:c>
    </x:row>
    <x:row r="2">
      <x:c r="A2" s="6" t="str">
        <x:v>CDR/clean-energy project finance</x:v>
      </x:c>
      <x:c r="B2" s="6" t="n">
        <x:v>0.16</x:v>
      </x:c>
      <x:c r="C2" s="6" t="n">
        <x:v>1.6</x:v>
      </x:c>
    </x:row>
    <x:row r="3">
      <x:c r="A3" s="6" t="str">
        <x:v>Treasury/trade/SME credit</x:v>
      </x:c>
      <x:c r="B3" s="6" t="n">
        <x:v>0.14</x:v>
      </x:c>
      <x:c r="C3" s="6" t="n">
        <x:v>1.4000000000000001</x:v>
      </x:c>
    </x:row>
    <x:row r="4">
      <x:c r="A4" s="6" t="str">
        <x:v>Public payment utility</x:v>
      </x:c>
      <x:c r="B4" s="6" t="n">
        <x:v>0.1</x:v>
      </x:c>
      <x:c r="C4" s="6" t="n">
        <x:v>1</x:v>
      </x:c>
    </x:row>
    <x:row r="5">
      <x:c r="A5" s="6" t="str">
        <x:v>Cybersecurity/fraud/identity/privacy</x:v>
      </x:c>
      <x:c r="B5" s="6" t="n">
        <x:v>0.1</x:v>
      </x:c>
      <x:c r="C5" s="6" t="n">
        <x:v>1</x:v>
      </x:c>
    </x:row>
    <x:row r="6">
      <x:c r="A6" s="6" t="str">
        <x:v>Climate MRV</x:v>
      </x:c>
      <x:c r="B6" s="6" t="n">
        <x:v>0.1</x:v>
      </x:c>
      <x:c r="C6" s="6" t="n">
        <x:v>1</x:v>
      </x:c>
    </x:row>
    <x:row r="7">
      <x:c r="A7" s="6" t="str">
        <x:v>Insurance/catastrophe risk</x:v>
      </x:c>
      <x:c r="B7" s="6" t="n">
        <x:v>0.1</x:v>
      </x:c>
      <x:c r="C7" s="6" t="n">
        <x:v>1</x:v>
      </x:c>
    </x:row>
    <x:row r="8">
      <x:c r="A8" s="6" t="str">
        <x:v>AI/robotics finance/leasing/operations</x:v>
      </x:c>
      <x:c r="B8" s="6" t="n">
        <x:v>0.1</x:v>
      </x:c>
      <x:c r="C8" s="6" t="n">
        <x:v>1</x:v>
      </x:c>
    </x:row>
    <x:row r="9">
      <x:c r="A9" s="6" t="str">
        <x:v>Forestry/natural capital</x:v>
      </x:c>
      <x:c r="B9" s="6" t="n">
        <x:v>0.08</x:v>
      </x:c>
      <x:c r="C9" s="6" t="n">
        <x:v>0.8</x:v>
      </x:c>
    </x:row>
    <x:row r="10">
      <x:c r="A10" s="6" t="str">
        <x:v>Infrastructure/housing/water</x:v>
      </x:c>
      <x:c r="B10" s="6" t="n">
        <x:v>0.08</x:v>
      </x:c>
      <x:c r="C10" s="6" t="n">
        <x:v>0.8</x:v>
      </x:c>
    </x:row>
    <x:row r="11">
      <x:c r="A11" s="6" t="str">
        <x:v>Entrepreneurship</x:v>
      </x:c>
      <x:c r="B11" s="6" t="n">
        <x:v>0.04</x:v>
      </x:c>
      <x:c r="C11" s="6" t="n">
        <x:v>0.4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103" t="str">
        <x:v>metric</x:v>
      </x:c>
      <x:c r="B1" s="103" t="str">
        <x:v>value</x:v>
      </x:c>
    </x:row>
    <x:row r="2">
      <x:c r="A2" s="6" t="str">
        <x:v>current_cross_border_revenue_margin_bp</x:v>
      </x:c>
      <x:c r="B2" s="6" t="n">
        <x:v>15.26315789473684</x:v>
      </x:c>
    </x:row>
    <x:row r="3">
      <x:c r="A3" s="6" t="str">
        <x:v>mature_cross_border_flows_usd_tn_yr</x:v>
      </x:c>
      <x:c r="B3" s="6" t="n">
        <x:v>529.0142367994233</x:v>
      </x:c>
    </x:row>
    <x:row r="4">
      <x:c r="A4" s="6" t="str">
        <x:v>additional_cross_border_climate_revenue_usd_tn_yr</x:v>
      </x:c>
      <x:c r="B4" s="6" t="n">
        <x:v>0.8074427824833302</x:v>
      </x:c>
    </x:row>
    <x:row r="5">
      <x:c r="A5" s="6" t="str">
        <x:v>equalizer_access_pool_usd_bn_yr</x:v>
      </x:c>
      <x:c r="B5" s="6" t="n">
        <x:v>80.74427824833302</x:v>
      </x:c>
    </x:row>
    <x:row r="6">
      <x:c r="A6" s="6" t="str">
        <x:v>direct_additional_cdr_fund_usd_tn_yr</x:v>
      </x:c>
      <x:c r="B6" s="6" t="n">
        <x:v>0.7266985042349973</x:v>
      </x:c>
    </x:row>
    <x:row r="7">
      <x:c r="A7" s="6" t="str">
        <x:v>legacy_incremental_effective_cdr_gtco2_yr</x:v>
      </x:c>
      <x:c r="B7" s="6" t="n">
        <x:v>3.3031750192499874</x:v>
      </x:c>
    </x:row>
    <x:row r="8">
      <x:c r="A8" s="6" t="str">
        <x:v>legacy_combined_fee_burden_fraction_mature_gdp</x:v>
      </x:c>
      <x:c r="B8" s="6" t="n">
        <x:v>0.024238601549828796</x:v>
      </x:c>
    </x:row>
    <x:row r="9">
      <x:c r="A9" s="6" t="str">
        <x:v>old_restoration_dates</x:v>
      </x:c>
      <x:c r="B9" s="6" t="str">
        <x:v>SUPERSEDED_BY_V53_1_EARTH_SYSTEM_CORE</x:v>
      </x:c>
    </x:row>
    <x:row r="10">
      <x:c r="A10" s="6" t="str">
        <x:v>status</x:v>
      </x:c>
      <x:c r="B10" s="6" t="str">
        <x:v>RESTORED_FINANCE_MECHANISM; OLD_CO2_DATES_NOT_RESTORED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87" t="str">
        <x:v>metric</x:v>
      </x:c>
      <x:c r="B1" s="87" t="str">
        <x:v>value</x:v>
      </x:c>
    </x:row>
    <x:row r="2">
      <x:c r="A2" s="6" t="str">
        <x:v>water.municipal_water_km3_yr</x:v>
      </x:c>
      <x:c r="B2" s="6" t="n">
        <x:v>375.95</x:v>
      </x:c>
    </x:row>
    <x:row r="3">
      <x:c r="A3" s="6" t="str">
        <x:v>water.wastewater_collected_km3_yr</x:v>
      </x:c>
      <x:c r="B3" s="6" t="n">
        <x:v>357</x:v>
      </x:c>
    </x:row>
    <x:row r="4">
      <x:c r="A4" s="6" t="str">
        <x:v>water.wastewater_reused_km3_yr</x:v>
      </x:c>
      <x:c r="B4" s="6" t="n">
        <x:v>214.29</x:v>
      </x:c>
    </x:row>
    <x:row r="5">
      <x:c r="A5" s="6" t="str">
        <x:v>water.desalination_backstop_km3_yr</x:v>
      </x:c>
      <x:c r="B5" s="6" t="n">
        <x:v>250</x:v>
      </x:c>
    </x:row>
    <x:row r="6">
      <x:c r="A6" s="6" t="str">
        <x:v>water.wastewater_treatment_twh_yr</x:v>
      </x:c>
      <x:c r="B6" s="6" t="n">
        <x:v>96.39</x:v>
      </x:c>
    </x:row>
    <x:row r="7">
      <x:c r="A7" s="6" t="str">
        <x:v>water.reuse_polishing_twh_yr</x:v>
      </x:c>
      <x:c r="B7" s="6" t="n">
        <x:v>42.858000000000004</x:v>
      </x:c>
    </x:row>
    <x:row r="8">
      <x:c r="A8" s="6" t="str">
        <x:v>water.desalination_backstop_twh_yr</x:v>
      </x:c>
      <x:c r="B8" s="6" t="n">
        <x:v>750</x:v>
      </x:c>
    </x:row>
    <x:row r="9">
      <x:c r="A9" s="6" t="str">
        <x:v>water.core_water_electricity_twh_yr</x:v>
      </x:c>
      <x:c r="B9" s="6" t="n">
        <x:v>139.248</x:v>
      </x:c>
    </x:row>
    <x:row r="10">
      <x:c r="A10" s="6" t="str">
        <x:v>water.full_backstop_water_electricity_twh_yr</x:v>
      </x:c>
      <x:c r="B10" s="6" t="n">
        <x:v>889.248</x:v>
      </x:c>
    </x:row>
    <x:row r="11">
      <x:c r="A11" s="6" t="str">
        <x:v>seaweed.area_yield_potential_gt_dry_yr</x:v>
      </x:c>
      <x:c r="B11" s="6" t="n">
        <x:v>1.465</x:v>
      </x:c>
    </x:row>
    <x:row r="12">
      <x:c r="A12" s="6" t="str">
        <x:v>seaweed.dry_biomass_n_mass_fraction</x:v>
      </x:c>
      <x:c r="B12" s="6" t="n">
        <x:v>0.0175</x:v>
      </x:c>
    </x:row>
    <x:row r="13">
      <x:c r="A13" s="6" t="str">
        <x:v>seaweed.dry_biomass_p_mass_fraction</x:v>
      </x:c>
      <x:c r="B13" s="6" t="n">
        <x:v>0.0009675405742821474</x:v>
      </x:c>
    </x:row>
    <x:row r="14">
      <x:c r="A14" s="6" t="str">
        <x:v>seaweed.n_required_for_full_potential_mt_yr</x:v>
      </x:c>
      <x:c r="B14" s="6" t="n">
        <x:v>25.637500000000003</x:v>
      </x:c>
    </x:row>
    <x:row r="15">
      <x:c r="A15" s="6" t="str">
        <x:v>seaweed.p_required_for_full_potential_mt_yr</x:v>
      </x:c>
      <x:c r="B15" s="6" t="n">
        <x:v>1.417446941323346</x:v>
      </x:c>
    </x:row>
    <x:row r="16">
      <x:c r="A16" s="6" t="str">
        <x:v>seaweed.credited_eutrophic_n_mt_yr</x:v>
      </x:c>
      <x:c r="B16" s="6" t="n">
        <x:v>4.42</x:v>
      </x:c>
    </x:row>
    <x:row r="17">
      <x:c r="A17" s="6" t="str">
        <x:v>seaweed.credited_eutrophic_p_mt_yr</x:v>
      </x:c>
      <x:c r="B17" s="6" t="n">
        <x:v>0.555</x:v>
      </x:c>
    </x:row>
    <x:row r="18">
      <x:c r="A18" s="6" t="str">
        <x:v>seaweed.nutrient_supported_biomass_without_other_sources_gt_yr</x:v>
      </x:c>
      <x:c r="B18" s="6" t="n">
        <x:v>0.25257142857142856</x:v>
      </x:c>
    </x:row>
    <x:row r="19">
      <x:c r="A19" s="6" t="str">
        <x:v>seaweed.supplemental_or_natural_n_needed_for_full_potential_mt_yr</x:v>
      </x:c>
      <x:c r="B19" s="6" t="n">
        <x:v>21.2175</x:v>
      </x:c>
    </x:row>
    <x:row r="20">
      <x:c r="A20" s="6" t="str">
        <x:v>seaweed.supplemental_or_natural_p_needed_for_full_potential_mt_yr</x:v>
      </x:c>
      <x:c r="B20" s="6" t="n">
        <x:v>0.8624469413233459</x:v>
      </x:c>
    </x:row>
    <x:row r="21">
      <x:c r="A21" s="6" t="str">
        <x:v>seaweed.fertilizer_n_from_credited_capture_mt_yr</x:v>
      </x:c>
      <x:c r="B21" s="6" t="n">
        <x:v>2.873</x:v>
      </x:c>
    </x:row>
    <x:row r="22">
      <x:c r="A22" s="6" t="str">
        <x:v>seaweed.fertilizer_p_from_credited_capture_mt_yr</x:v>
      </x:c>
      <x:c r="B22" s="6" t="n">
        <x:v>0.47452500000000003</x:v>
      </x:c>
    </x:row>
    <x:row r="23">
      <x:c r="A23" s="6" t="str">
        <x:v>seaweed.constraint</x:v>
      </x:c>
      <x:c r="B23" s="6" t="str">
        <x:v>Full area-yield production is not claimed to be supplied solely by eutrophic nutrient capture; additional natural or managed nutrient flux must be demonstrated regionally.</x:v>
      </x:c>
    </x:row>
    <x:row r="24">
      <x:c r="A24" s="6" t="str">
        <x:v>nutrients.recycled_p_supply_mt</x:v>
      </x:c>
      <x:c r="B24" s="6" t="str">
        <x:v>[14.4, 17.92, 23.13]</x:v>
      </x:c>
    </x:row>
    <x:row r="25">
      <x:c r="A25" s="6" t="str">
        <x:v>nutrients.maintenance_p_requirement_mt</x:v>
      </x:c>
      <x:c r="B25" s="6" t="str">
        <x:v>[14.249, 17.5, 19.685]</x:v>
      </x:c>
    </x:row>
    <x:row r="26">
      <x:c r="A26" s="6" t="str">
        <x:v>nutrients.coverage_matrix</x:v>
      </x:c>
      <x:c r="B26" s="6" t="str">
        <x:v>[[1.0105972348936767, 0.8228571428571428, 0.7315214630429262], [1.2576321145343534, 1.024, 0.9103378206756415], [1.623271808547968, 1.3217142857142856, 1.1750063500127002]]</x:v>
      </x:c>
    </x:row>
    <x:row r="27">
      <x:c r="A27" s="6" t="str">
        <x:v>nutrients.central_coverage</x:v>
      </x:c>
      <x:c r="B27" s="6" t="n">
        <x:v>1.024</x:v>
      </x:c>
    </x:row>
    <x:row r="28">
      <x:c r="A28" s="6" t="str">
        <x:v>nutrients.full_factorial_min_coverage</x:v>
      </x:c>
      <x:c r="B28" s="6" t="n">
        <x:v>0.7315214630429262</x:v>
      </x:c>
    </x:row>
    <x:row r="29">
      <x:c r="A29" s="6" t="str">
        <x:v>nutrients.full_factorial_max_coverage</x:v>
      </x:c>
      <x:c r="B29" s="6" t="n">
        <x:v>1.623271808547968</x:v>
      </x:c>
    </x:row>
    <x:row r="30">
      <x:c r="A30" s="6" t="str">
        <x:v>nutrients.worst_case_primary_p_requirement_mt_yr</x:v>
      </x:c>
      <x:c r="B30" s="6" t="n">
        <x:v>5.284999999999998</x:v>
      </x:c>
    </x:row>
    <x:row r="31">
      <x:c r="A31" s="6" t="str">
        <x:v>plastics.campaign_years</x:v>
      </x:c>
      <x:c r="B31" s="6" t="n">
        <x:v>14</x:v>
      </x:c>
    </x:row>
    <x:row r="32">
      <x:c r="A32" s="6" t="str">
        <x:v>plastics.legacy_removed_mt</x:v>
      </x:c>
      <x:c r="B32" s="6" t="n">
        <x:v>1.6560000000000001</x:v>
      </x:c>
    </x:row>
    <x:row r="33">
      <x:c r="A33" s="6" t="str">
        <x:v>plastics.intercepted_new_no_prevention_mt</x:v>
      </x:c>
      <x:c r="B33" s="6" t="n">
        <x:v>5.6000000000000005</x:v>
      </x:c>
    </x:row>
    <x:row r="34">
      <x:c r="A34" s="6" t="str">
        <x:v>plastics.residual_new_no_prevention_mt</x:v>
      </x:c>
      <x:c r="B34" s="6" t="n">
        <x:v>1.3999999999999997</x:v>
      </x:c>
    </x:row>
    <x:row r="35">
      <x:c r="A35" s="6" t="str">
        <x:v>plastics.qualified_marine_polymer_no_prevention_mt</x:v>
      </x:c>
      <x:c r="B35" s="6" t="n">
        <x:v>3.9908000000000006</x:v>
      </x:c>
    </x:row>
    <x:row r="36">
      <x:c r="A36" s="6" t="str">
        <x:v>plastics.intercepted_new_with_prevention_mt</x:v>
      </x:c>
      <x:c r="B36" s="6" t="n">
        <x:v>2.8000000000000007</x:v>
      </x:c>
    </x:row>
    <x:row r="37">
      <x:c r="A37" s="6" t="str">
        <x:v>plastics.residual_new_with_prevention_mt</x:v>
      </x:c>
      <x:c r="B37" s="6" t="n">
        <x:v>0.6999999999999998</x:v>
      </x:c>
    </x:row>
    <x:row r="38">
      <x:c r="A38" s="6" t="str">
        <x:v>plastics.qualified_marine_polymer_with_prevention_mt</x:v>
      </x:c>
      <x:c r="B38" s="6" t="n">
        <x:v>2.450800000000001</x:v>
      </x:c>
    </x:row>
    <x:row r="39">
      <x:c r="A39" s="6" t="str">
        <x:v>plastics.net_buoyant_stock_reduction_no_prevention_fraction</x:v>
      </x:c>
      <x:c r="B39" s="6" t="n">
        <x:v>0.08000000000000014</x:v>
      </x:c>
    </x:row>
    <x:row r="40">
      <x:c r="A40" s="6" t="str">
        <x:v>plastics.net_buoyant_stock_reduction_with_prevention_fraction</x:v>
      </x:c>
      <x:c r="B40" s="6" t="n">
        <x:v>0.29875000000000007</x:v>
      </x:c>
    </x:row>
    <x:row r="41">
      <x:c r="A41" s="6" t="str">
        <x:v>plastics.storm_structure_polymer_demand_mt</x:v>
      </x:c>
      <x:c r="B41" s="6" t="n">
        <x:v>11.72</x:v>
      </x:c>
    </x:row>
    <x:row r="42">
      <x:c r="A42" s="6" t="str">
        <x:v>plastics.marine_share_of_demand_no_prevention</x:v>
      </x:c>
      <x:c r="B42" s="6" t="n">
        <x:v>0.3405119453924915</x:v>
      </x:c>
    </x:row>
    <x:row r="43">
      <x:c r="A43" s="6" t="str">
        <x:v>plastics.marine_share_of_demand_with_prevention</x:v>
      </x:c>
      <x:c r="B43" s="6" t="n">
        <x:v>0.2091126279863482</x:v>
      </x:c>
    </x:row>
    <x:row r="44">
      <x:c r="A44" s="6" t="str">
        <x:v>plastics.land_recycled_polymer_needed_with_prevention_mt</x:v>
      </x:c>
      <x:c r="B44" s="6" t="n">
        <x:v>9.2692</x:v>
      </x:c>
    </x:row>
    <x:row r="45">
      <x:c r="A45" s="6" t="str">
        <x:v>plastics.cleanup_electricity_twh_yr</x:v>
      </x:c>
      <x:c r="B45" s="6" t="n">
        <x:v>60</x:v>
      </x:c>
    </x:row>
    <x:row r="46">
      <x:c r="A46" s="6" t="str">
        <x:v>plastics.annual_prevention_rows</x:v>
      </x:c>
      <x:c r="B46" s="6" t="str">
        <x:v>[{"year": 2027, "gross_new_input_mt": 0.5, "intercepted_mt": 0.4, "residual_mt": 0.09999999999999998}, {"year": 2028, "gross_new_input_mt": 0.46153846153846156, "intercepted_mt": 0.36923076923076925, "residual_mt": 0.0923076923076923}, {"year": 2029, "gross_new_input_mt": 0.4230769230769231, "intercepted_mt": 0.3384615384615385, "residual_mt": 0.08461538461538459}, {"year": 2030, "gross_new_input_mt": 0.3846153846153846, "intercepted_mt": 0.3076923076923077, "residual_mt": 0.0769230769230769}, {"year": 2031, "gross_new_input_mt": 0.34615384615384615, "intercepted_mt": 0.27692307692307694, "residual_mt": 0.0692307692307692}, {"year": 2032, "gross_new_input_mt": 0.3076923076923077, "intercepted_mt": 0.24615384615384617, "residual_mt": 0.06153846153846153}, {"year": 2033, "gross_new_input_mt": 0.2692307692307692, "intercepted_mt": 0.2153846153846154, "residual_mt": 0.05384615384615383}, {"year": 2034, "gross_new_input_mt": 0.23076923076923078, "intercepted_mt": 0.18461538461538463, "residual_mt": 0.04615384615384615}, {"year": 2035, "gross_new_input_mt": 0.1923076923076923, "intercepted_mt": 0.15384615384615385, "residual_mt": 0.03846153846153845}, {"year": 2036, "gross_new_input_mt": 0.15384615384615385, "intercepted_mt": 0.12307692307692308, "residual_mt": 0.030769230769230764}, {"year": 2037, "gross_new_input_mt": 0.11538461538461536, "intercepted_mt": 0.0923076923076923, "residual_mt": 0.023076923076923068}, {"year": 2038, "gross_new_input_mt": 0.07692307692307693, "intercepted_mt": 0.06153846153846154, "residual_mt": 0.015384615384615382}, {"year": 2039, "gross_new_input_mt": 0.038461538461538436, "intercepted_mt": 0.03076923076923075, "residual_mt": 0.007692307692307686}, {"year": 2040, "gross_new_input_mt": 0.0, "intercepted_mt": 0.0, "residual_mt": 0.0}]</x:v>
      </x:c>
    </x:row>
    <x:row r="47">
      <x:c r="A47" s="6" t="str">
        <x:v>banking_transition.data_center_capex_2026_2030_usd_tn</x:v>
      </x:c>
      <x:c r="B47" s="6" t="n">
        <x:v>6.7</x:v>
      </x:c>
    </x:row>
    <x:row r="48">
      <x:c r="A48" s="6" t="str">
        <x:v>banking_transition.ai_specific_capex_usd_tn</x:v>
      </x:c>
      <x:c r="B48" s="6" t="n">
        <x:v>5.2</x:v>
      </x:c>
    </x:row>
    <x:row r="49">
      <x:c r="A49" s="6" t="str">
        <x:v>banking_transition.annualized_capex_usd_tn_yr</x:v>
      </x:c>
      <x:c r="B49" s="6" t="n">
        <x:v>1.34</x:v>
      </x:c>
    </x:row>
    <x:row r="50">
      <x:c r="A50" s="6" t="str">
        <x:v>banking_transition.scenarios</x:v>
      </x:c>
      <x:c r="B50" s="6" t="str">
        <x:v>[{"debt_share": 0.3, "net_interest_margin": 0.015, "annual_debt_originations_usd_tn": 0.402, "illustrative_2030_debt_stock_usd_tn": 2.01, "illustrative_net_interest_income_usd_bn_yr": 30.149999999999995}, {"debt_share": 0.3, "net_interest_margin": 0.02, "annual_debt_originations_usd_tn": 0.402, "illustrative_2030_debt_stock_usd_tn": 2.01, "illustrative_net_interest_income_usd_bn_yr": 40.2}, {"debt_share": 0.3, "net_interest_margin": 0.025, "annual_debt_originations_usd_tn": 0.402, "illustrative_2030_debt_stock_usd_tn": 2.01, "illustrative_net_interest_income_usd_bn_yr": 50.24999999999999}, {"debt_share": 0.5, "net_interest_margin": 0.015, "annual_debt_originations_usd_tn": 0.67, "illustrative_2030_debt_stock_usd_tn": 3.35, "illustrative_net_interest_income_usd_bn_yr": 50.24999999999999}, {"debt_share": 0.5, "net_interest_margin": 0.02, "annual_debt_originations_usd_tn": 0.67, "illustrative_2030_debt_stock_usd_tn": 3.35, "illustrative_net_interest_income_usd_bn_yr": 67.0}, {"debt_share": 0.5, "net_interest_margin": 0.025, "annual_debt_originations_usd_tn": 0.67, "illustrative_2030_debt_stock_usd_tn": 3.35, "illustrative_net_interest_income_usd_bn_yr": 83.75}, {"debt_share": 0.7, "net_interest_margin": 0.015, "annual_debt_originations_usd_tn": 0.938, "illustrative_2030_debt_stock_usd_tn": 4.6899999999999995, "illustrative_net_interest_income_usd_bn_yr": 70.35}, {"debt_share": 0.7, "net_interest_margin": 0.02, "annual_debt_originations_usd_tn": 0.938, "illustrative_2030_debt_stock_usd_tn": 4.6899999999999995, "illustrative_net_interest_income_usd_bn_yr": 93.8}, {"debt_share": 0.7, "net_interest_margin": 0.025, "annual_debt_originations_usd_tn": 0.938, "illustrative_2030_debt_stock_usd_tn": 4.6899999999999995, "illustrative_net_interest_income_usd_bn_yr": 117.25}]</x:v>
      </x:c>
    </x:row>
    <x:row r="51">
      <x:c r="A51" s="6" t="str">
        <x:v>banking_transition.status</x:v>
      </x:c>
      <x:c r="B51" s="6" t="str">
        <x:v>Financing opportunity screen; bank-system profit neutrality is not determined.</x:v>
      </x:c>
    </x:row>
    <x:row r="52">
      <x:c r="A52" s="6" t="str">
        <x:v>external_social_ecological_screens</x:v>
      </x:c>
      <x:c r="B52" s="6" t="str">
        <x:v>[{"domain": "Planning population", "value": 10.3, "unit": "billion people", "status": "EXTERNAL_SCREEN_INPUT"}, {"domain": "Meat + dairy carrying capacity", "value": 11.24, "unit": "billion people", "status": "EXTERNAL_SCREEN_INPUT"}, {"domain": "Vegetarian / aquatic carrying capacity", "value": 12.55, "unit": "billion people", "status": "EXTERNAL_SCREEN_INPUT"}, {"domain": "Plant-based upper capacity", "value": 13.0, "unit": "billion people", "status": "EXTERNAL_SCREEN_INPUT"}, {"domain": "Healthy-food resource envelope", "value": 18.54, "unit": "USD tn/yr", "status": "EXTERNAL_SCREEN_INPUT"}, {"domain": "Health-care resource envelope", "value": 25.75, "unit": "USD tn/yr", "status": "EXTERNAL_SCREEN_INPUT"}, {"domain": "Starvation/minimum-calorie deprivation target", "value": 2032, "unit": "year", "status": "POLICY_DEPLOYMENT_TARGET"}, {"domain": "Wild-fish median recovery", "value": 10, "unit": "years", "status": "LITERATURE_SCREEN"}, {"domain": "Healthy-stock horizon", "value": 2050, "unit": "year", "status": "LITERATURE_SCREEN"}, {"domain": "Routine unabated fossil combustion endpoint", "value": 2050, "unit": "year", "status": "POLICY_SCENARIO_ENDPOINT"}, {"domain": "Life expectancy sensitivity", "value": 79.9, "unit": "years in 2054", "status": "EXTERNAL_SCREEN_INPUT"}, {"domain": "Healthy-life gain sensitivity", "value": 3.0, "unit": "years", "status": "EXTERNAL_SCREEN_INPUT"}]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0" hidden="0" customWidth="1"/>
  </x:cols>
  <x:sheetData>
    <x:row r="1">
      <x:c r="A1" s="78" t="str">
        <x:v>Source</x:v>
      </x:c>
      <x:c r="B1" s="78" t="str">
        <x:v>Role in V54</x:v>
      </x:c>
    </x:row>
    <x:row r="2">
      <x:c r="A2" t="str">
        <x:v>Los_Jardines_Global_Crypto_Equalizer_v21.xlsx</x:v>
      </x:c>
      <x:c r="B2" t="str">
        <x:v>Primary recovered v7–v21 module lineage: maritime, seaweed, food, wastewater, N/P/K, tidal, storage, shocks, monetary/governance, tree wealth and equalizer.</x:v>
      </x:c>
    </x:row>
    <x:row r="3">
      <x:c r="A3" t="str">
        <x:v>Los_Jardines_Integrated_Global_Model_v19.xlsx</x:v>
      </x:c>
      <x:c r="B3" t="str">
        <x:v>Grid-harvester physical reconstruction and v19 seaweed economics.</x:v>
      </x:c>
    </x:row>
    <x:row r="4">
      <x:c r="A4" t="str">
        <x:v>CV-vs-Grid.pdf</x:v>
      </x:c>
      <x:c r="B4" t="str">
        <x:v>Underlying conventional-vessel versus grid-harvester concept source; V54 uses the later v19 physical reconstruction rather than the raw proxy efficiency.</x:v>
      </x:c>
    </x:row>
    <x:row r="5">
      <x:c r="A5" t="str">
        <x:v>Pasted markdown (2)(2).md / v23 workbook dump</x:v>
      </x:c>
      <x:c r="B5" t="str">
        <x:v>Recovered v22/v23 settlement, AI data-center, distributed-network and Cella demonstration architecture.</x:v>
      </x:c>
    </x:row>
    <x:row r="6">
      <x:c r="A6" t="str">
        <x:v>Planetary_Restoration_Model_V53_1.xlsx</x:v>
      </x:c>
      <x:c r="B6" t="str">
        <x:v>Authoritative released V53.1 700-draw Earth-system/climate/CDR workbook used as V54 core.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28" hidden="0" customWidth="1"/>
    <x:col min="5" max="5" width="14" hidden="0" customWidth="1"/>
    <x:col min="6" max="6" width="22" hidden="0" customWidth="1"/>
    <x:col min="7" max="7" width="28" hidden="0" customWidth="1"/>
    <x:col min="8" max="8" width="30" hidden="0" customWidth="1"/>
  </x:cols>
  <x:sheetData>
    <x:row r="1">
      <x:c r="A1" s="186" t="str">
        <x:v>HISTORICAL / SUPERSEDED — V55_Climate is retained for lineage only. Current results are in the V57_* sheets.</x:v>
      </x:c>
      <x:c r="B1" s="122"/>
      <x:c r="C1" s="122"/>
      <x:c r="D1" s="122"/>
      <x:c r="E1" s="122"/>
      <x:c r="F1" s="122"/>
      <x:c r="G1" s="122"/>
      <x:c r="H1" s="122"/>
    </x:row>
    <x:row r="4">
      <x:c r="A4" s="135" t="str">
        <x:v>case</x:v>
      </x:c>
      <x:c r="B4" s="135" t="str">
        <x:v>first_below_280_year</x:v>
      </x:c>
      <x:c r="C4" s="135" t="str">
        <x:v>cumulative_cdr_to_target_gtco2</x:v>
      </x:c>
      <x:c r="D4" s="135" t="str">
        <x:v>fuel_additionality</x:v>
      </x:c>
      <x:c r="E4" s="135" t="str">
        <x:v>food_share</x:v>
      </x:c>
      <x:c r="F4" s="135" t="str">
        <x:v>status</x:v>
      </x:c>
      <x:c r="G4" s="135" t="str">
        <x:v>mature_fuel_abatement_gtco2_yr</x:v>
      </x:c>
    </x:row>
    <x:row r="5">
      <x:c r="A5" s="6" t="str">
        <x:v>V53.1 / V55 primary</x:v>
      </x:c>
      <x:c r="B5" s="6" t="n">
        <x:v>2155</x:v>
      </x:c>
      <x:c r="C5" s="6" t="n">
        <x:v>1835.435551448252</x:v>
      </x:c>
      <x:c r="D5" s="6" t="str">
        <x:v>0% added</x:v>
      </x:c>
      <x:c r="E5" s="6" t="n">
        <x:v>0.05</x:v>
      </x:c>
      <x:c r="F5" s="6" t="str">
        <x:v>Primary deterministic screen</x:v>
      </x:c>
      <x:c r="G5" s="6"/>
    </x:row>
    <x:row r="6">
      <x:c r="A6" s="6" t="str">
        <x:v>central_5pct_food</x:v>
      </x:c>
      <x:c r="B6" s="6" t="n">
        <x:v>2151</x:v>
      </x:c>
      <x:c r="C6" s="6" t="n">
        <x:v>1773.106657251339</x:v>
      </x:c>
      <x:c r="D6" s="6" t="str">
        <x:v>100% fully additional sensitivity</x:v>
      </x:c>
      <x:c r="E6" s="6" t="n">
        <x:v>0.05</x:v>
      </x:c>
      <x:c r="F6" s="6" t="str">
        <x:v>DETERMINISTIC_ADDITIONALITY_SENSITIVITY_ONLY</x:v>
      </x:c>
      <x:c r="G6" s="6" t="n">
        <x:v>0.43974260400000015</x:v>
      </x:c>
    </x:row>
    <x:row r="7">
      <x:c r="A7" s="6" t="str">
        <x:v>food_priority_20pct</x:v>
      </x:c>
      <x:c r="B7" s="6" t="n">
        <x:v>2153</x:v>
      </x:c>
      <x:c r="C7" s="6" t="n">
        <x:v>1796.8378797469854</x:v>
      </x:c>
      <x:c r="D7" s="6" t="str">
        <x:v>100% fully additional sensitivity</x:v>
      </x:c>
      <x:c r="E7" s="6" t="n">
        <x:v>0.2</x:v>
      </x:c>
      <x:c r="F7" s="6" t="str">
        <x:v>DETERMINISTIC_ADDITIONALITY_SENSITIVITY_ONLY</x:v>
      </x:c>
      <x:c r="G7" s="6" t="n">
        <x:v>0.3572908657500001</x:v>
      </x:c>
    </x:row>
    <x:row r="8">
      <x:c r="A8" s="6" t="str">
        <x:v>food_emergency_50pct</x:v>
      </x:c>
      <x:c r="B8" s="6" t="n">
        <x:v>2153</x:v>
      </x:c>
      <x:c r="C8" s="6" t="n">
        <x:v>1806.8739488283325</x:v>
      </x:c>
      <x:c r="D8" s="6" t="str">
        <x:v>100% fully additional sensitivity</x:v>
      </x:c>
      <x:c r="E8" s="6" t="n">
        <x:v>0.5</x:v>
      </x:c>
      <x:c r="F8" s="6" t="str">
        <x:v>DETERMINISTIC_ADDITIONALITY_SENSITIVITY_ONLY</x:v>
      </x:c>
      <x:c r="G8" s="6" t="n">
        <x:v>0.19238738924999998</x:v>
      </x:c>
    </x:row>
    <x:row r="10">
      <x:c r="A10" s="127" t="str">
        <x:v>Interpretation: increasing the human-food allocation reduces liquid-fuel output and therefore weakens the seaweed-fuel climate additionality sensitivity. It does not worsen the V55 primary climate case because the primary case does not credit seaweed fuel on top of V53.1's technology-neutral transition.</x:v>
      </x:c>
      <x:c r="B10" s="127"/>
      <x:c r="C10" s="127"/>
      <x:c r="D10" s="127"/>
      <x:c r="E10" s="127"/>
      <x:c r="F10" s="127"/>
      <x:c r="G10" s="127"/>
      <x:c r="H10" s="127"/>
    </x:row>
    <x:row r="11">
      <x:c r="A11" s="127"/>
      <x:c r="B11" s="127"/>
      <x:c r="C11" s="127"/>
      <x:c r="D11" s="127"/>
      <x:c r="E11" s="127"/>
      <x:c r="F11" s="127"/>
      <x:c r="G11" s="127"/>
      <x:c r="H11" s="127"/>
    </x:row>
    <x:row r="12">
      <x:c r="A12" s="127"/>
      <x:c r="B12" s="127"/>
      <x:c r="C12" s="127"/>
      <x:c r="D12" s="127"/>
      <x:c r="E12" s="127"/>
      <x:c r="F12" s="127"/>
      <x:c r="G12" s="127"/>
      <x:c r="H12" s="127"/>
    </x:row>
  </x:sheetData>
  <x:mergeCells>
    <x:mergeCell ref="A1:H1"/>
    <x:mergeCell ref="A10:H12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28" hidden="0" customWidth="1"/>
    <x:col min="6" max="6" width="35" hidden="0" customWidth="1"/>
  </x:cols>
  <x:sheetData>
    <x:row r="1">
      <x:c r="A1" s="186" t="str">
        <x:v>HISTORICAL / SUPERSEDED — V55_Seaweed is retained for lineage only. Current results are in the V57_* sheets.</x:v>
      </x:c>
      <x:c r="B1" s="122"/>
      <x:c r="C1" s="122"/>
      <x:c r="D1" s="122"/>
      <x:c r="E1" s="122"/>
      <x:c r="F1" s="122"/>
    </x:row>
    <x:row r="4">
      <x:c r="A4" s="135" t="str">
        <x:v>category</x:v>
      </x:c>
      <x:c r="B4" s="135" t="str">
        <x:v>metric</x:v>
      </x:c>
      <x:c r="C4" s="135" t="str">
        <x:v>value</x:v>
      </x:c>
      <x:c r="D4" s="135" t="str">
        <x:v>unit</x:v>
      </x:c>
      <x:c r="E4" s="135" t="str">
        <x:v>status</x:v>
      </x:c>
    </x:row>
    <x:row r="5">
      <x:c r="A5" s="6" t="str">
        <x:v>Production</x:v>
      </x:c>
      <x:c r="B5" s="6" t="str">
        <x:v>Farm area</x:v>
      </x:c>
      <x:c r="C5" s="6" t="n">
        <x:v>586000</x:v>
      </x:c>
      <x:c r="D5" s="6" t="str">
        <x:v>km²</x:v>
      </x:c>
      <x:c r="E5" s="6" t="str">
        <x:v>Active V55</x:v>
      </x:c>
    </x:row>
    <x:row r="6">
      <x:c r="A6" s="6" t="str">
        <x:v>Production</x:v>
      </x:c>
      <x:c r="B6" s="6" t="str">
        <x:v>Dry biomass</x:v>
      </x:c>
      <x:c r="C6" s="6" t="n">
        <x:v>1.465</x:v>
      </x:c>
      <x:c r="D6" s="6" t="str">
        <x:v>Gt dry/yr</x:v>
      </x:c>
      <x:c r="E6" s="6" t="str">
        <x:v>Active V55</x:v>
      </x:c>
    </x:row>
    <x:row r="7">
      <x:c r="A7" s="6" t="str">
        <x:v>Allocation</x:v>
      </x:c>
      <x:c r="B7" s="6" t="str">
        <x:v>Food</x:v>
      </x:c>
      <x:c r="C7" s="6" t="n">
        <x:v>0.07325000000000001</x:v>
      </x:c>
      <x:c r="D7" s="6" t="str">
        <x:v>Gt dry/yr</x:v>
      </x:c>
      <x:c r="E7" s="6" t="str">
        <x:v>5% central</x:v>
      </x:c>
    </x:row>
    <x:row r="8">
      <x:c r="A8" s="6" t="str">
        <x:v>Allocation</x:v>
      </x:c>
      <x:c r="B8" s="6" t="str">
        <x:v>Liquid-fuel feedstock</x:v>
      </x:c>
      <x:c r="C8" s="6" t="n">
        <x:v>1.1720000000000002</x:v>
      </x:c>
      <x:c r="D8" s="6" t="str">
        <x:v>Gt dry/yr</x:v>
      </x:c>
      <x:c r="E8" s="6" t="str">
        <x:v>80% central</x:v>
      </x:c>
    </x:row>
    <x:row r="9">
      <x:c r="A9" s="6" t="str">
        <x:v>Allocation</x:v>
      </x:c>
      <x:c r="B9" s="6" t="str">
        <x:v>Durable storage</x:v>
      </x:c>
      <x:c r="C9" s="6" t="n">
        <x:v>0.14650000000000002</x:v>
      </x:c>
      <x:c r="D9" s="6" t="str">
        <x:v>Gt dry/yr</x:v>
      </x:c>
      <x:c r="E9" s="6" t="str">
        <x:v>Inside BiCRS</x:v>
      </x:c>
    </x:row>
    <x:row r="10">
      <x:c r="A10" s="6" t="str">
        <x:v>Fuel</x:v>
      </x:c>
      <x:c r="B10" s="6" t="str">
        <x:v>Finished fuel energy</x:v>
      </x:c>
      <x:c r="C10" s="6" t="n">
        <x:v>2379.811111111112</x:v>
      </x:c>
      <x:c r="D10" s="6" t="str">
        <x:v>TWh/yr</x:v>
      </x:c>
      <x:c r="E10" s="6" t="str">
        <x:v>Engineering screen</x:v>
      </x:c>
    </x:row>
    <x:row r="11">
      <x:c r="A11" s="6" t="str">
        <x:v>Fuel</x:v>
      </x:c>
      <x:c r="B11" s="6" t="str">
        <x:v>Aviation</x:v>
      </x:c>
      <x:c r="C11" s="6" t="n">
        <x:v>1665.8677777777784</x:v>
      </x:c>
      <x:c r="D11" s="6" t="str">
        <x:v>TWh/yr</x:v>
      </x:c>
      <x:c r="E11" s="6" t="str">
        <x:v>70% fuel allocation</x:v>
      </x:c>
    </x:row>
    <x:row r="12">
      <x:c r="A12" s="6" t="str">
        <x:v>Fuel</x:v>
      </x:c>
      <x:c r="B12" s="6" t="str">
        <x:v>Heavy equipment</x:v>
      </x:c>
      <x:c r="C12" s="6" t="n">
        <x:v>594.952777777778</x:v>
      </x:c>
      <x:c r="D12" s="6" t="str">
        <x:v>TWh/yr</x:v>
      </x:c>
      <x:c r="E12" s="6" t="str">
        <x:v>25% fuel allocation</x:v>
      </x:c>
    </x:row>
    <x:row r="13">
      <x:c r="A13" s="6" t="str">
        <x:v>Fuel</x:v>
      </x:c>
      <x:c r="B13" s="6" t="str">
        <x:v>Marine / other</x:v>
      </x:c>
      <x:c r="C13" s="6" t="n">
        <x:v>118.9905555555556</x:v>
      </x:c>
      <x:c r="D13" s="6" t="str">
        <x:v>TWh/yr</x:v>
      </x:c>
      <x:c r="E13" s="6" t="str">
        <x:v>5% fuel allocation</x:v>
      </x:c>
    </x:row>
    <x:row r="14">
      <x:c r="A14" s="6" t="str">
        <x:v>Carbon stock</x:v>
      </x:c>
      <x:c r="B14" s="6" t="str">
        <x:v>Standing farm working stock</x:v>
      </x:c>
      <x:c r="C14" s="6" t="n">
        <x:v>0.6043125</x:v>
      </x:c>
      <x:c r="D14" s="6" t="str">
        <x:v>GtCO₂-eq</x:v>
      </x:c>
      <x:c r="E14" s="6" t="str">
        <x:v>Temporary, not CDR</x:v>
      </x:c>
    </x:row>
    <x:row r="15">
      <x:c r="A15" s="6" t="str">
        <x:v>Carbon stock</x:v>
      </x:c>
      <x:c r="B15" s="6" t="str">
        <x:v>Strategic fuel reserve</x:v>
      </x:c>
      <x:c r="C15" s="6" t="n">
        <x:v>1.2564074400000005</x:v>
      </x:c>
      <x:c r="D15" s="6" t="str">
        <x:v>GtCO₂-eq</x:v>
      </x:c>
      <x:c r="E15" s="6" t="str">
        <x:v>Temporary, not CDR</x:v>
      </x:c>
    </x:row>
    <x:row r="16">
      <x:c r="A16" s="6" t="str">
        <x:v>Carbon storage</x:v>
      </x:c>
      <x:c r="B16" s="6" t="str">
        <x:v>Durable seaweed storage</x:v>
      </x:c>
      <x:c r="C16" s="6" t="n">
        <x:v>0.14503500000000003</x:v>
      </x:c>
      <x:c r="D16" s="6" t="str">
        <x:v>GtCO₂/yr</x:v>
      </x:c>
      <x:c r="E16" s="6" t="str">
        <x:v>Substitutes inside BiCRS</x:v>
      </x:c>
    </x:row>
    <x:row r="17">
      <x:c r="A17" s="6" t="str">
        <x:v>Habitat</x:v>
      </x:c>
      <x:c r="B17" s="6" t="str">
        <x:v>Structured farm footprint</x:v>
      </x:c>
      <x:c r="C17" s="6" t="n">
        <x:v>586000</x:v>
      </x:c>
      <x:c r="D17" s="6" t="str">
        <x:v>km²</x:v>
      </x:c>
      <x:c r="E17" s="6" t="str">
        <x:v>Physical footprint</x:v>
      </x:c>
    </x:row>
    <x:row r="18">
      <x:c r="A18" s="6" t="str">
        <x:v>Habitat</x:v>
      </x:c>
      <x:c r="B18" s="6" t="str">
        <x:v>Illustrative edible co-culture</x:v>
      </x:c>
      <x:c r="C18" s="6" t="n">
        <x:v>29.3</x:v>
      </x:c>
      <x:c r="D18" s="6" t="str">
        <x:v>Mt/yr</x:v>
      </x:c>
      <x:c r="E18" s="6" t="str">
        <x:v>Scenario only</x:v>
      </x:c>
    </x:row>
  </x:sheetData>
  <x:mergeCells>
    <x:mergeCell ref="A1:F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8" hidden="0" customWidth="1"/>
    <x:col min="3" max="3" width="30" hidden="0" customWidth="1"/>
  </x:cols>
  <x:sheetData>
    <x:row r="1">
      <x:c r="A1" s="186" t="str">
        <x:v>HISTORICAL / SUPERSEDED — V55_Grid_Harvest is retained for lineage only. Current results are in the V57_* sheets.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  <x:c r="C4" s="135" t="str">
        <x:v>status</x:v>
      </x:c>
    </x:row>
    <x:row r="5">
      <x:c r="A5" s="6" t="str">
        <x:v>model_status</x:v>
      </x:c>
      <x:c r="B5" s="6" t="str">
        <x:v>PHYSICAL_ENGINEERING_SCREEN_WITH_PROTOTYPE_VALIDATION_REQUIRED</x:v>
      </x:c>
      <x:c r="C5" s="6" t="str">
        <x:v>V55 active physical screen</x:v>
      </x:c>
    </x:row>
    <x:row r="6">
      <x:c r="A6" s="6" t="str">
        <x:v>wet_throughput_t_h</x:v>
      </x:c>
      <x:c r="B6" s="6" t="n">
        <x:v>100</x:v>
      </x:c>
      <x:c r="C6" s="6" t="str">
        <x:v>V55 active physical screen</x:v>
      </x:c>
    </x:row>
    <x:row r="7">
      <x:c r="A7" s="6" t="str">
        <x:v>specific_electricity_kwh_wet_t</x:v>
      </x:c>
      <x:c r="B7" s="6" t="n">
        <x:v>1.3374406270551114</x:v>
      </x:c>
      <x:c r="C7" s="6" t="str">
        <x:v>V55 active physical screen</x:v>
      </x:c>
    </x:row>
    <x:row r="8">
      <x:c r="A8" s="6" t="str">
        <x:v>specific_electricity_kwh_dry_t</x:v>
      </x:c>
      <x:c r="B8" s="6" t="n">
        <x:v>10.69952501644089</x:v>
      </x:c>
      <x:c r="C8" s="6" t="str">
        <x:v>V55 active physical screen</x:v>
      </x:c>
    </x:row>
    <x:row r="9">
      <x:c r="A9" s="6" t="str">
        <x:v>bankable_efficiency_factor_vs_conventional</x:v>
      </x:c>
      <x:c r="B9" s="6" t="n">
        <x:v>3</x:v>
      </x:c>
      <x:c r="C9" s="6" t="str">
        <x:v>V55 active physical screen</x:v>
      </x:c>
    </x:row>
    <x:row r="10">
      <x:c r="A10" s="6" t="str">
        <x:v>engineering_upper_proxy_factor</x:v>
      </x:c>
      <x:c r="B10" s="6" t="n">
        <x:v>3.782477990172189</x:v>
      </x:c>
      <x:c r="C10" s="6" t="str">
        <x:v>V55 active physical screen</x:v>
      </x:c>
    </x:row>
    <x:row r="11">
      <x:c r="A11" s="6" t="str">
        <x:v>annual_dry_harvest_t_per_unit</x:v>
      </x:c>
      <x:c r="B11" s="6" t="n">
        <x:v>82125</x:v>
      </x:c>
      <x:c r="C11" s="6" t="str">
        <x:v>V55 active physical screen</x:v>
      </x:c>
    </x:row>
    <x:row r="12">
      <x:c r="A12" s="6" t="str">
        <x:v>required_global_fleet_units</x:v>
      </x:c>
      <x:c r="B12" s="6" t="n">
        <x:v>17838.660578386607</x:v>
      </x:c>
      <x:c r="C12" s="6" t="str">
        <x:v>V55 active physical screen</x:v>
      </x:c>
    </x:row>
    <x:row r="13">
      <x:c r="A13" s="6" t="str">
        <x:v>global_harvest_electricity_twh_yr</x:v>
      </x:c>
      <x:c r="B13" s="6" t="n">
        <x:v>15.674804149085904</x:v>
      </x:c>
      <x:c r="C13" s="6" t="str">
        <x:v>V55 active physical screen</x:v>
      </x:c>
    </x:row>
    <x:row r="14">
      <x:c r="A14" s="6" t="str">
        <x:v>conventional_proxy_harvest_electricity_twh_yr</x:v>
      </x:c>
      <x:c r="B14" s="6" t="n">
        <x:v>47.024412447257724</x:v>
      </x:c>
      <x:c r="C14" s="6" t="str">
        <x:v>V55 active physical screen</x:v>
      </x:c>
    </x:row>
    <x:row r="15">
      <x:c r="A15" s="6" t="str">
        <x:v>harvest_electricity_saved_vs_conventional_proxy_twh_yr</x:v>
      </x:c>
      <x:c r="B15" s="6" t="n">
        <x:v>31.34960829817182</x:v>
      </x:c>
      <x:c r="C15" s="6" t="str">
        <x:v>V55 active physical screen</x:v>
      </x:c>
    </x:row>
    <x:row r="16">
      <x:c r="A16" s="6" t="str">
        <x:v>harvest_propulsion_energy_reduction_fraction_vs_3x_proxy</x:v>
      </x:c>
      <x:c r="B16" s="6" t="n">
        <x:v>0.6666666666666667</x:v>
      </x:c>
      <x:c r="C16" s="6" t="str">
        <x:v>V55 active physical screen</x:v>
      </x:c>
    </x:row>
    <x:row r="17">
      <x:c r="A17" s="6" t="str">
        <x:v>global_fleet_capex_usd_bn</x:v>
      </x:c>
      <x:c r="B17" s="6" t="n">
        <x:v>133.78995433789953</x:v>
      </x:c>
      <x:c r="C17" s="6" t="str">
        <x:v>V55 active physical screen</x:v>
      </x:c>
    </x:row>
    <x:row r="18">
      <x:c r="A18" s="6" t="str">
        <x:v>grid_harvest_cost_usd_bn_yr</x:v>
      </x:c>
      <x:c r="B18" s="6" t="n">
        <x:v>36.325391390887994</x:v>
      </x:c>
      <x:c r="C18" s="6" t="str">
        <x:v>V55 active physical screen</x:v>
      </x:c>
    </x:row>
    <x:row r="19">
      <x:c r="A19" s="6" t="str">
        <x:v>reference_conventional_harvest_cost_usd_bn_yr</x:v>
      </x:c>
      <x:c r="B19" s="6" t="n">
        <x:v>76.54625</x:v>
      </x:c>
      <x:c r="C19" s="6" t="str">
        <x:v>V55 active physical screen</x:v>
      </x:c>
    </x:row>
    <x:row r="20">
      <x:c r="A20" s="6" t="str">
        <x:v>harvest_cost_saving_usd_bn_yr</x:v>
      </x:c>
      <x:c r="B20" s="6" t="n">
        <x:v>40.22085860911201</x:v>
      </x:c>
      <x:c r="C20" s="6" t="str">
        <x:v>V55 active physical screen</x:v>
      </x:c>
    </x:row>
    <x:row r="21">
      <x:c r="A21" s="6" t="str">
        <x:v>central_harvest_cost_usd_dry_t</x:v>
      </x:c>
      <x:c r="B21" s="6" t="n">
        <x:v>24.79548900401911</x:v>
      </x:c>
      <x:c r="C21" s="6" t="str">
        <x:v>V55 active physical screen</x:v>
      </x:c>
    </x:row>
    <x:row r="22">
      <x:c r="A22" s="6" t="str">
        <x:v>reference_harvest_cost_usd_dry_t</x:v>
      </x:c>
      <x:c r="B22" s="6" t="n">
        <x:v>52.25</x:v>
      </x:c>
      <x:c r="C22" s="6" t="str">
        <x:v>V55 active physical screen</x:v>
      </x:c>
    </x:row>
    <x:row r="23">
      <x:c r="A23" s="6" t="str">
        <x:v>caution</x:v>
      </x:c>
      <x:c r="B23" s="6" t="str">
        <x:v>The original CV-vs-Grid movement arithmetic was not a joule balance and its 3-kn/5.5-t/h pumping figures were inconsistent. V19 replaced that with a 100 wet-t/h pump/drag/cutter screen. The 3.0x central factor is therefore a derated engineering screen, not a measured prototype ratio.</x:v>
      </x:c>
      <x:c r="C23" s="6" t="str">
        <x:v>V55 active physical screen</x:v>
      </x:c>
    </x:row>
  </x:sheetData>
  <x:mergeCells>
    <x:mergeCell ref="A1:D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22" hidden="0" customWidth="1"/>
    <x:col min="4" max="4" width="22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65" hidden="0" customWidth="1"/>
  </x:cols>
  <x:sheetData>
    <x:row r="1">
      <x:c r="A1" s="186" t="str">
        <x:v>HISTORICAL / SUPERSEDED — V55_Food_Hunger is retained for lineage only. Current results are in the V57_* sheets.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</x:row>
    <x:row r="2">
      <x:c r="A2" s="127" t="str">
        <x:v>Capacity thresholds are not predictions that hunger ends automatically. V55 applies an explicit 85% processing/distribution delivery factor and reports 300/400/500-kcal daily deficit screens.</x:v>
      </x:c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</x:row>
    <x:row r="5">
      <x:c r="A5" s="135" t="str">
        <x:v>case</x:v>
      </x:c>
      <x:c r="B5" s="135" t="str">
        <x:v>food_share</x:v>
      </x:c>
      <x:c r="C5" s="135" t="str">
        <x:v>calorie_deficit_kcal_person_day</x:v>
      </x:c>
      <x:c r="D5" s="135" t="str">
        <x:v>delivery_fraction_after_processing_distribution</x:v>
      </x:c>
      <x:c r="E5" s="135" t="str">
        <x:v>mature_deficit_coverage_million_people</x:v>
      </x:c>
      <x:c r="F5" s="135" t="str">
        <x:v>first_year_capacity_covers_100m_people</x:v>
      </x:c>
      <x:c r="G5" s="135" t="str">
        <x:v>first_year_capacity_covers_500m_people</x:v>
      </x:c>
      <x:c r="H5" s="135" t="str">
        <x:v>first_year_capacity_covers_800m_people</x:v>
      </x:c>
      <x:c r="I5" s="135" t="str">
        <x:v>first_year_capacity_covers_1000m_people</x:v>
      </x:c>
      <x:c r="J5" s="135" t="str">
        <x:v>caution</x:v>
      </x:c>
    </x:row>
    <x:row r="6">
      <x:c r="A6" s="6" t="str">
        <x:v>central_5pct_food</x:v>
      </x:c>
      <x:c r="B6" s="6" t="n">
        <x:v>0.05</x:v>
      </x:c>
      <x:c r="C6" s="6" t="n">
        <x:v>300</x:v>
      </x:c>
      <x:c r="D6" s="6" t="n">
        <x:v>0.85</x:v>
      </x:c>
      <x:c r="E6" s="6" t="n">
        <x:v>1137.2146118721462</x:v>
      </x:c>
      <x:c r="F6" s="6" t="n">
        <x:v>2029</x:v>
      </x:c>
      <x:c r="G6" s="6" t="n">
        <x:v>2035</x:v>
      </x:c>
      <x:c r="H6" s="6" t="n">
        <x:v>2040</x:v>
      </x:c>
      <x:c r="I6" s="6" t="n">
        <x:v>2043</x:v>
      </x:c>
      <x:c r="J6" s="6" t="str">
        <x:v>Capacity threshold only; ending starvation also requires safe species/processing, micronutrients, financing, storage, ports, inland transport, conflict access and local distribution.</x:v>
      </x:c>
    </x:row>
    <x:row r="7">
      <x:c r="A7" s="6" t="str">
        <x:v>central_5pct_food</x:v>
      </x:c>
      <x:c r="B7" s="6" t="n">
        <x:v>0.05</x:v>
      </x:c>
      <x:c r="C7" s="6" t="n">
        <x:v>400</x:v>
      </x:c>
      <x:c r="D7" s="6" t="n">
        <x:v>0.85</x:v>
      </x:c>
      <x:c r="E7" s="6" t="n">
        <x:v>852.9109589041096</x:v>
      </x:c>
      <x:c r="F7" s="6" t="n">
        <x:v>2030</x:v>
      </x:c>
      <x:c r="G7" s="6" t="n">
        <x:v>2038</x:v>
      </x:c>
      <x:c r="H7" s="6" t="n">
        <x:v>2044</x:v>
      </x:c>
      <x:c r="I7" s="6"/>
      <x:c r="J7" s="6" t="str">
        <x:v>Capacity threshold only; ending starvation also requires safe species/processing, micronutrients, financing, storage, ports, inland transport, conflict access and local distribution.</x:v>
      </x:c>
    </x:row>
    <x:row r="8">
      <x:c r="A8" s="6" t="str">
        <x:v>central_5pct_food</x:v>
      </x:c>
      <x:c r="B8" s="6" t="n">
        <x:v>0.05</x:v>
      </x:c>
      <x:c r="C8" s="6" t="n">
        <x:v>500</x:v>
      </x:c>
      <x:c r="D8" s="6" t="n">
        <x:v>0.85</x:v>
      </x:c>
      <x:c r="E8" s="6" t="n">
        <x:v>682.3287671232877</x:v>
      </x:c>
      <x:c r="F8" s="6" t="n">
        <x:v>2030</x:v>
      </x:c>
      <x:c r="G8" s="6" t="n">
        <x:v>2041</x:v>
      </x:c>
      <x:c r="H8" s="6"/>
      <x:c r="I8" s="6"/>
      <x:c r="J8" s="6" t="str">
        <x:v>Capacity threshold only; ending starvation also requires safe species/processing, micronutrients, financing, storage, ports, inland transport, conflict access and local distribution.</x:v>
      </x:c>
    </x:row>
    <x:row r="9">
      <x:c r="A9" s="6" t="str">
        <x:v>food_priority_20pct</x:v>
      </x:c>
      <x:c r="B9" s="6" t="n">
        <x:v>0.2</x:v>
      </x:c>
      <x:c r="C9" s="6" t="n">
        <x:v>300</x:v>
      </x:c>
      <x:c r="D9" s="6" t="n">
        <x:v>0.85</x:v>
      </x:c>
      <x:c r="E9" s="6" t="n">
        <x:v>4548.858447488585</x:v>
      </x:c>
      <x:c r="F9" s="6" t="n">
        <x:v>2028</x:v>
      </x:c>
      <x:c r="G9" s="6" t="n">
        <x:v>2029</x:v>
      </x:c>
      <x:c r="H9" s="6" t="n">
        <x:v>2031</x:v>
      </x:c>
      <x:c r="I9" s="6" t="n">
        <x:v>2031</x:v>
      </x:c>
      <x:c r="J9" s="6" t="str">
        <x:v>Capacity threshold only; ending starvation also requires safe species/processing, micronutrients, financing, storage, ports, inland transport, conflict access and local distribution.</x:v>
      </x:c>
    </x:row>
    <x:row r="10">
      <x:c r="A10" s="6" t="str">
        <x:v>food_priority_20pct</x:v>
      </x:c>
      <x:c r="B10" s="6" t="n">
        <x:v>0.2</x:v>
      </x:c>
      <x:c r="C10" s="6" t="n">
        <x:v>400</x:v>
      </x:c>
      <x:c r="D10" s="6" t="n">
        <x:v>0.85</x:v>
      </x:c>
      <x:c r="E10" s="6" t="n">
        <x:v>3411.6438356164385</x:v>
      </x:c>
      <x:c r="F10" s="6" t="n">
        <x:v>2028</x:v>
      </x:c>
      <x:c r="G10" s="6" t="n">
        <x:v>2030</x:v>
      </x:c>
      <x:c r="H10" s="6" t="n">
        <x:v>2032</x:v>
      </x:c>
      <x:c r="I10" s="6" t="n">
        <x:v>2033</x:v>
      </x:c>
      <x:c r="J10" s="6" t="str">
        <x:v>Capacity threshold only; ending starvation also requires safe species/processing, micronutrients, financing, storage, ports, inland transport, conflict access and local distribution.</x:v>
      </x:c>
    </x:row>
    <x:row r="11">
      <x:c r="A11" s="6" t="str">
        <x:v>food_priority_20pct</x:v>
      </x:c>
      <x:c r="B11" s="6" t="n">
        <x:v>0.2</x:v>
      </x:c>
      <x:c r="C11" s="6" t="n">
        <x:v>500</x:v>
      </x:c>
      <x:c r="D11" s="6" t="n">
        <x:v>0.85</x:v>
      </x:c>
      <x:c r="E11" s="6" t="n">
        <x:v>2729.3150684931506</x:v>
      </x:c>
      <x:c r="F11" s="6" t="n">
        <x:v>2028</x:v>
      </x:c>
      <x:c r="G11" s="6" t="n">
        <x:v>2031</x:v>
      </x:c>
      <x:c r="H11" s="6" t="n">
        <x:v>2033</x:v>
      </x:c>
      <x:c r="I11" s="6" t="n">
        <x:v>2034</x:v>
      </x:c>
      <x:c r="J11" s="6" t="str">
        <x:v>Capacity threshold only; ending starvation also requires safe species/processing, micronutrients, financing, storage, ports, inland transport, conflict access and local distribution.</x:v>
      </x:c>
    </x:row>
    <x:row r="12">
      <x:c r="A12" s="6" t="str">
        <x:v>food_emergency_50pct</x:v>
      </x:c>
      <x:c r="B12" s="6" t="n">
        <x:v>0.5</x:v>
      </x:c>
      <x:c r="C12" s="6" t="n">
        <x:v>300</x:v>
      </x:c>
      <x:c r="D12" s="6" t="n">
        <x:v>0.85</x:v>
      </x:c>
      <x:c r="E12" s="6" t="n">
        <x:v>11372.14611872146</x:v>
      </x:c>
      <x:c r="F12" s="6" t="n">
        <x:v>2028</x:v>
      </x:c>
      <x:c r="G12" s="6" t="n">
        <x:v>2028</x:v>
      </x:c>
      <x:c r="H12" s="6" t="n">
        <x:v>2029</x:v>
      </x:c>
      <x:c r="I12" s="6" t="n">
        <x:v>2029</x:v>
      </x:c>
      <x:c r="J12" s="6" t="str">
        <x:v>Capacity threshold only; ending starvation also requires safe species/processing, micronutrients, financing, storage, ports, inland transport, conflict access and local distribution.</x:v>
      </x:c>
    </x:row>
    <x:row r="13">
      <x:c r="A13" s="6" t="str">
        <x:v>food_emergency_50pct</x:v>
      </x:c>
      <x:c r="B13" s="6" t="n">
        <x:v>0.5</x:v>
      </x:c>
      <x:c r="C13" s="6" t="n">
        <x:v>400</x:v>
      </x:c>
      <x:c r="D13" s="6" t="n">
        <x:v>0.85</x:v>
      </x:c>
      <x:c r="E13" s="6" t="n">
        <x:v>8529.109589041096</x:v>
      </x:c>
      <x:c r="F13" s="6" t="n">
        <x:v>2028</x:v>
      </x:c>
      <x:c r="G13" s="6" t="n">
        <x:v>2029</x:v>
      </x:c>
      <x:c r="H13" s="6" t="n">
        <x:v>2029</x:v>
      </x:c>
      <x:c r="I13" s="6" t="n">
        <x:v>2030</x:v>
      </x:c>
      <x:c r="J13" s="6" t="str">
        <x:v>Capacity threshold only; ending starvation also requires safe species/processing, micronutrients, financing, storage, ports, inland transport, conflict access and local distribution.</x:v>
      </x:c>
    </x:row>
    <x:row r="14">
      <x:c r="A14" s="6" t="str">
        <x:v>food_emergency_50pct</x:v>
      </x:c>
      <x:c r="B14" s="6" t="n">
        <x:v>0.5</x:v>
      </x:c>
      <x:c r="C14" s="6" t="n">
        <x:v>500</x:v>
      </x:c>
      <x:c r="D14" s="6" t="n">
        <x:v>0.85</x:v>
      </x:c>
      <x:c r="E14" s="6" t="n">
        <x:v>6823.287671232877</x:v>
      </x:c>
      <x:c r="F14" s="6" t="n">
        <x:v>2028</x:v>
      </x:c>
      <x:c r="G14" s="6" t="n">
        <x:v>2029</x:v>
      </x:c>
      <x:c r="H14" s="6" t="n">
        <x:v>2030</x:v>
      </x:c>
      <x:c r="I14" s="6" t="n">
        <x:v>2030</x:v>
      </x:c>
      <x:c r="J14" s="6" t="str">
        <x:v>Capacity threshold only; ending starvation also requires safe species/processing, micronutrients, financing, storage, ports, inland transport, conflict access and local distribution.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4" hidden="0" customWidth="1"/>
    <x:col min="4" max="4" width="6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86" t="str">
        <x:v>HISTORICAL / SUPERSEDED — V55_Population is retained for lineage only. Current results are in the V57_* sheets.</x:v>
      </x:c>
      <x:c r="B1" s="122"/>
      <x:c r="C1" s="122"/>
      <x:c r="D1" s="122"/>
      <x:c r="E1" s="122"/>
      <x:c r="F1" s="122"/>
      <x:c r="G1" s="122"/>
      <x:c r="H1" s="122"/>
    </x:row>
    <x:row r="2">
      <x:c r="A2" s="127" t="str">
        <x:v>No single number is asserted as Earth's empirical carrying capacity. V55 reports bounded scenario capacities because diets, crop yields, biodiversity, water, materials, regional climate, distribution and governance can become binding.</x:v>
      </x:c>
      <x:c r="B2" s="127"/>
      <x:c r="C2" s="127"/>
      <x:c r="D2" s="127"/>
      <x:c r="E2" s="127"/>
      <x:c r="F2" s="127"/>
      <x:c r="G2" s="127"/>
      <x:c r="H2" s="127"/>
    </x:row>
    <x:row r="5">
      <x:c r="A5" s="135" t="str">
        <x:v>case</x:v>
      </x:c>
      <x:c r="B5" s="135" t="str">
        <x:v>food_share</x:v>
      </x:c>
      <x:c r="C5" s="135" t="str">
        <x:v>seaweed_food_dry_mt_yr</x:v>
      </x:c>
      <x:c r="D5" s="135" t="str">
        <x:v>seaweed_full_diet_equivalent_billion_people_at_2350_kcal</x:v>
      </x:c>
      <x:c r="E5" s="135" t="str">
        <x:v>evidence_anchored_food_capacity_billion</x:v>
      </x:c>
      <x:c r="F5" s="135" t="str">
        <x:v>energy_only_capacity_billion</x:v>
      </x:c>
      <x:c r="G5" s="135" t="str">
        <x:v>integrated_capacity_billion</x:v>
      </x:c>
      <x:c r="H5" s="135" t="str">
        <x:v>finished_fuel_energy_twh_yr</x:v>
      </x:c>
      <x:c r="I5" s="135" t="str">
        <x:v>status</x:v>
      </x:c>
    </x:row>
    <x:row r="6">
      <x:c r="A6" s="6" t="str">
        <x:v>central_5pct_food</x:v>
      </x:c>
      <x:c r="B6" s="6" t="n">
        <x:v>0.05</x:v>
      </x:c>
      <x:c r="C6" s="6" t="n">
        <x:v>73.25000000000001</x:v>
      </x:c>
      <x:c r="D6" s="6" t="n">
        <x:v>0.17079568638880796</x:v>
      </x:c>
      <x:c r="E6" s="6" t="n">
        <x:v>10.370795686388806</x:v>
      </x:c>
      <x:c r="F6" s="6" t="n">
        <x:v>14.707241956010044</x:v>
      </x:c>
      <x:c r="G6" s="6" t="n">
        <x:v>10.370795686388806</x:v>
      </x:c>
      <x:c r="H6" s="6" t="n">
        <x:v>2379.811111111112</x:v>
      </x:c>
      <x:c r="I6" s="6" t="str">
        <x:v>SCREENING_CAPACITY_NOT_EMPIRICAL_EARTH_CARRYING_CAPACITY</x:v>
      </x:c>
    </x:row>
    <x:row r="7">
      <x:c r="A7" s="6" t="str">
        <x:v>food_priority_20pct</x:v>
      </x:c>
      <x:c r="B7" s="6" t="n">
        <x:v>0.2</x:v>
      </x:c>
      <x:c r="C7" s="6" t="n">
        <x:v>293.00000000000006</x:v>
      </x:c>
      <x:c r="D7" s="6" t="n">
        <x:v>0.6831827455552318</x:v>
      </x:c>
      <x:c r="E7" s="6" t="n">
        <x:v>10.883182745555231</x:v>
      </x:c>
      <x:c r="F7" s="6" t="n">
        <x:v>14.707241956010044</x:v>
      </x:c>
      <x:c r="G7" s="6" t="n">
        <x:v>10.883182745555231</x:v>
      </x:c>
      <x:c r="H7" s="6" t="n">
        <x:v>1933.596527777778</x:v>
      </x:c>
      <x:c r="I7" s="6" t="str">
        <x:v>SCREENING_CAPACITY_NOT_EMPIRICAL_EARTH_CARRYING_CAPACITY</x:v>
      </x:c>
    </x:row>
    <x:row r="8">
      <x:c r="A8" s="6" t="str">
        <x:v>food_emergency_50pct</x:v>
      </x:c>
      <x:c r="B8" s="6" t="n">
        <x:v>0.5</x:v>
      </x:c>
      <x:c r="C8" s="6" t="n">
        <x:v>732.5</x:v>
      </x:c>
      <x:c r="D8" s="6" t="n">
        <x:v>1.707956863888079</x:v>
      </x:c>
      <x:c r="E8" s="6" t="n">
        <x:v>11.907956863888078</x:v>
      </x:c>
      <x:c r="F8" s="6" t="n">
        <x:v>14.707241956010044</x:v>
      </x:c>
      <x:c r="G8" s="6" t="n">
        <x:v>11.907956863888078</x:v>
      </x:c>
      <x:c r="H8" s="6" t="n">
        <x:v>1041.1673611111112</x:v>
      </x:c>
      <x:c r="I8" s="6" t="str">
        <x:v>SCREENING_CAPACITY_NOT_EMPIRICAL_EARTH_CARRYING_CAPACITY</x:v>
      </x:c>
    </x:row>
    <x:row r="9">
      <x:c r="A9" s="6" t="str">
        <x:v>all_food_theoretical_ceiling</x:v>
      </x:c>
      <x:c r="B9" s="6" t="n">
        <x:v>1</x:v>
      </x:c>
      <x:c r="C9" s="6" t="n">
        <x:v>1465</x:v>
      </x:c>
      <x:c r="D9" s="6" t="n">
        <x:v>3.415913727776158</x:v>
      </x:c>
      <x:c r="E9" s="6" t="n">
        <x:v>13.615913727776157</x:v>
      </x:c>
      <x:c r="F9" s="6" t="n">
        <x:v>14.707241956010044</x:v>
      </x:c>
      <x:c r="G9" s="6" t="n">
        <x:v>13.615913727776157</x:v>
      </x:c>
      <x:c r="H9" s="6" t="n">
        <x:v>0</x:v>
      </x:c>
      <x:c r="I9" s="6" t="str">
        <x:v>SCREENING_CAPACITY_NOT_EMPIRICAL_EARTH_CARRYING_CAPACITY</x:v>
      </x:c>
    </x:row>
    <x:row r="11">
      <x:c r="A11" s="128" t="str">
        <x:v>Calorie-consumption sensitivity — central 5% seaweed-food allocation</x:v>
      </x:c>
      <x:c r="B11" s="128"/>
      <x:c r="C11" s="128"/>
      <x:c r="D11" s="128"/>
      <x:c r="E11" s="128"/>
      <x:c r="F11" s="128"/>
    </x:row>
    <x:row r="13">
      <x:c r="A13" s="135" t="str">
        <x:v>daily_consumed_kcal_per_person</x:v>
      </x:c>
      <x:c r="B13" s="135" t="str">
        <x:v>seaweed_full_diet_equivalent_billion_people_at_5pct_food</x:v>
      </x:c>
      <x:c r="C13" s="135" t="str">
        <x:v>evidence_anchored_food_capacity_billion</x:v>
      </x:c>
      <x:c r="D13" s="135" t="str">
        <x:v>integrated_capacity_after_energy_cap_billion</x:v>
      </x:c>
      <x:c r="E13" s="135" t="str">
        <x:v>interpretation</x:v>
      </x:c>
    </x:row>
    <x:row r="14">
      <x:c r="A14" s="6" t="n">
        <x:v>2000</x:v>
      </x:c>
      <x:c r="B14" s="6" t="n">
        <x:v>0.20068493150684935</x:v>
      </x:c>
      <x:c r="C14" s="6" t="n">
        <x:v>10.400684931506849</x:v>
      </x:c>
      <x:c r="D14" s="6" t="n">
        <x:v>10.400684931506849</x:v>
      </x:c>
      <x:c r="E14" s="6" t="str">
        <x:v>Consumption-side screening value; gross food-system supply can be higher because of losses and waste.</x:v>
      </x:c>
    </x:row>
    <x:row r="15">
      <x:c r="A15" s="6" t="n">
        <x:v>2350</x:v>
      </x:c>
      <x:c r="B15" s="6" t="n">
        <x:v>0.17079568638880796</x:v>
      </x:c>
      <x:c r="C15" s="6" t="n">
        <x:v>10.370795686388806</x:v>
      </x:c>
      <x:c r="D15" s="6" t="n">
        <x:v>10.370795686388806</x:v>
      </x:c>
      <x:c r="E15" s="6" t="str">
        <x:v>Consumption-side screening value; gross food-system supply can be higher because of losses and waste.</x:v>
      </x:c>
    </x:row>
    <x:row r="16">
      <x:c r="A16" s="6" t="n">
        <x:v>2500</x:v>
      </x:c>
      <x:c r="B16" s="6" t="n">
        <x:v>0.16054794520547946</x:v>
      </x:c>
      <x:c r="C16" s="6" t="n">
        <x:v>10.360547945205479</x:v>
      </x:c>
      <x:c r="D16" s="6" t="n">
        <x:v>10.360547945205479</x:v>
      </x:c>
      <x:c r="E16" s="6" t="str">
        <x:v>Consumption-side screening value; gross food-system supply can be higher because of losses and waste.</x:v>
      </x:c>
    </x:row>
    <x:row r="18">
      <x:c r="A18" s="135" t="str">
        <x:v>Reference</x:v>
      </x:c>
      <x:c r="B18" s="135" t="str">
        <x:v>Value</x:v>
      </x:c>
      <x:c r="C18" s="135" t="str">
        <x:v>Use</x:v>
      </x:c>
      <x:c r="D18" s="135" t="str">
        <x:v>Source</x:v>
      </x:c>
    </x:row>
    <x:row r="19">
      <x:c r="A19" t="str">
        <x:v>UN projected peak</x:v>
      </x:c>
      <x:c r="B19" t="n">
        <x:v>10.3</x:v>
      </x:c>
      <x:c r="C19" t="str">
        <x:v>Demographic reference</x:v>
      </x:c>
      <x:c r="D19" t="str">
        <x:v>https://www.un.org/sustainabledevelopment/blog/2024/07/press-release-wpp2024/</x:v>
      </x:c>
    </x:row>
    <x:row r="20">
      <x:c r="A20" t="str">
        <x:v>Transformed terrestrial food benchmark</x:v>
      </x:c>
      <x:c r="B20" t="n">
        <x:v>10.2</x:v>
      </x:c>
      <x:c r="C20" t="str">
        <x:v>Evidence anchor</x:v>
      </x:c>
      <x:c r="D20" t="str">
        <x:v>https://www.nature.com/articles/s41893-019-0465-1</x:v>
      </x:c>
    </x:row>
    <x:row r="21">
      <x:c r="A21" t="str">
        <x:v>Historical optimized v11 MC median</x:v>
      </x:c>
      <x:c r="B21" t="n">
        <x:v>10.923795</x:v>
      </x:c>
      <x:c r="C21" t="str">
        <x:v>Historical model reference</x:v>
      </x:c>
      <x:c r="D21" t="str">
        <x:v>Earlier v11 workbook</x:v>
      </x:c>
    </x:row>
    <x:row r="22">
      <x:c r="A22" t="str">
        <x:v>Historical v16 high planning case</x:v>
      </x:c>
      <x:c r="B22" t="n">
        <x:v>12.55</x:v>
      </x:c>
      <x:c r="C22" t="str">
        <x:v>Historical scenario</x:v>
      </x:c>
      <x:c r="D22" t="str">
        <x:v>Earlier v16 workbook</x:v>
      </x:c>
    </x:row>
  </x:sheetData>
  <x:mergeCells>
    <x:mergeCell ref="A1:H1"/>
    <x:mergeCell ref="A2:H2"/>
    <x:mergeCell ref="A11:F11"/>
  </x:mergeCells>
  <x:pageMargins left="0.7" right="0.7" top="0.75" bottom="0.75" header="0.3" footer="0.3"/>
  <x:drawing xmlns:r="http://schemas.openxmlformats.org/officeDocument/2006/relationships" r:id="R2875b255391744e1"/>
</x:worksheet>
</file>

<file path=xl/worksheets/sheet48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5" hidden="0" customWidth="1"/>
    <x:col min="3" max="3" width="20" hidden="0" customWidth="1"/>
    <x:col min="4" max="4" width="70" hidden="0" customWidth="1"/>
  </x:cols>
  <x:sheetData>
    <x:row r="1">
      <x:c r="A1" s="186" t="str">
        <x:v>HISTORICAL / SUPERSEDED — V55_Food_Logistics is retained for lineage only. Current results are in the V57_* sheets.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  <x:c r="C4" s="135" t="str">
        <x:v>unit/status</x:v>
      </x:c>
      <x:c r="D4" s="135" t="str">
        <x:v>interpretation</x:v>
      </x:c>
    </x:row>
    <x:row r="5">
      <x:c r="A5" s="6" t="str">
        <x:v>classification</x:v>
      </x:c>
      <x:c r="B5" s="6" t="str">
        <x:v>ENGINEERING_SCENARIO_FOR_DRY_FOOD_LOGISTICS_NOT_A_CALIBRATED_REGIONAL_FORECAST</x:v>
      </x:c>
      <x:c r="C5" s="6" t="str"/>
      <x:c r="D5" s="6" t="str"/>
    </x:row>
    <x:row r="6">
      <x:c r="A6" s="6" t="str">
        <x:v>initial_harvest_dry_matter_fraction</x:v>
      </x:c>
      <x:c r="B6" s="6" t="n">
        <x:v>0.125</x:v>
      </x:c>
      <x:c r="C6" s="6" t="str"/>
      <x:c r="D6" s="6" t="str"/>
    </x:row>
    <x:row r="7">
      <x:c r="A7" s="6" t="str">
        <x:v>final_food_product_dry_matter_fraction</x:v>
      </x:c>
      <x:c r="B7" s="6" t="n">
        <x:v>0.9</x:v>
      </x:c>
      <x:c r="C7" s="6" t="str"/>
      <x:c r="D7" s="6" t="str"/>
    </x:row>
    <x:row r="8">
      <x:c r="A8" s="6" t="str">
        <x:v>water_removed_t_per_t_dry_food</x:v>
      </x:c>
      <x:c r="B8" s="6" t="n">
        <x:v>6.888888888888889</x:v>
      </x:c>
      <x:c r="C8" s="6" t="str"/>
      <x:c r="D8" s="6" t="str"/>
    </x:row>
    <x:row r="9">
      <x:c r="A9" s="6" t="str">
        <x:v>thermodynamic_minimum_drying_mwhth_per_t_dry_food</x:v>
      </x:c>
      <x:c r="B9" s="6" t="n">
        <x:v>4.318950617283951</x:v>
      </x:c>
      <x:c r="C9" s="6" t="str"/>
      <x:c r="D9" s="6" t="str"/>
    </x:row>
    <x:row r="10">
      <x:c r="A10" s="6" t="str">
        <x:v>central_drying_heat_mwhth_per_t_dry_food</x:v>
      </x:c>
      <x:c r="B10" s="6" t="n">
        <x:v>5.398688271604939</x:v>
      </x:c>
      <x:c r="C10" s="6" t="str"/>
      <x:c r="D10" s="6" t="str"/>
    </x:row>
    <x:row r="11">
      <x:c r="A11" s="6" t="str">
        <x:v>central_food_allocation_dry_mt_yr</x:v>
      </x:c>
      <x:c r="B11" s="6" t="n">
        <x:v>73.25000000000001</x:v>
      </x:c>
      <x:c r="C11" s="6" t="str"/>
      <x:c r="D11" s="6" t="str"/>
    </x:row>
    <x:row r="12">
      <x:c r="A12" s="6" t="str">
        <x:v>central_drying_heat_twhth_yr</x:v>
      </x:c>
      <x:c r="B12" s="6" t="n">
        <x:v>395.4539158950619</x:v>
      </x:c>
      <x:c r="C12" s="6" t="str"/>
      <x:c r="D12" s="6" t="str"/>
    </x:row>
    <x:row r="13">
      <x:c r="A13" s="6" t="str">
        <x:v>central_drying_aux_electricity_twh_yr</x:v>
      </x:c>
      <x:c r="B13" s="6" t="n">
        <x:v>5.860000000000001</x:v>
      </x:c>
      <x:c r="C13" s="6" t="str"/>
      <x:c r="D13" s="6" t="str"/>
    </x:row>
    <x:row r="14">
      <x:c r="A14" s="6" t="str">
        <x:v>central_inland_transport_distance_km</x:v>
      </x:c>
      <x:c r="B14" s="6" t="n">
        <x:v>1500</x:v>
      </x:c>
      <x:c r="C14" s="6" t="str"/>
      <x:c r="D14" s="6" t="str"/>
    </x:row>
    <x:row r="15">
      <x:c r="A15" s="6" t="str">
        <x:v>central_transport_energy_intensity_kwh_t_km</x:v>
      </x:c>
      <x:c r="B15" s="6" t="n">
        <x:v>0.1</x:v>
      </x:c>
      <x:c r="C15" s="6" t="str"/>
      <x:c r="D15" s="6" t="str"/>
    </x:row>
    <x:row r="16">
      <x:c r="A16" s="6" t="str">
        <x:v>central_inland_transport_electricity_twh_yr</x:v>
      </x:c>
      <x:c r="B16" s="6" t="n">
        <x:v>10.987500000000002</x:v>
      </x:c>
      <x:c r="C16" s="6" t="str"/>
      <x:c r="D16" s="6" t="str"/>
    </x:row>
    <x:row r="17">
      <x:c r="A17" s="6" t="str">
        <x:v>central_drying_plus_transport_electricity_twh_yr</x:v>
      </x:c>
      <x:c r="B17" s="6" t="n">
        <x:v>16.847500000000004</x:v>
      </x:c>
      <x:c r="C17" s="6" t="str"/>
      <x:c r="D17" s="6" t="str"/>
    </x:row>
    <x:row r="18">
      <x:c r="A18" s="6" t="str">
        <x:v>preferred_heat_sources</x:v>
      </x:c>
      <x:c r="B18" s="6" t="str">
        <x:v>Direct solar thermal, recovered industrial/data-center heat, and other low-carbon low-temperature heat before grid electricity.</x:v>
      </x:c>
      <x:c r="C18" s="6" t="str"/>
      <x:c r="D18" s="6" t="str"/>
    </x:row>
    <x:row r="19">
      <x:c r="A19" s="6" t="str">
        <x:v>inland_distribution_use_case</x:v>
      </x:c>
      <x:c r="B19" s="6" t="str">
        <x:v>Dried shelf-stable seaweed ingredients can be shipped from coastal farms to inland food-deficit regions; exact routes, fortification, species safety, storage and market acceptance require regional modeling.</x:v>
      </x:c>
      <x:c r="C19" s="6" t="str"/>
      <x:c r="D19" s="6" t="str"/>
    </x:row>
  </x:sheetData>
  <x:mergeCells>
    <x:mergeCell ref="A1:D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80" hidden="0" customWidth="1"/>
  </x:cols>
  <x:sheetData>
    <x:row r="1">
      <x:c r="A1" s="186" t="str">
        <x:v>HISTORICAL / SUPERSEDED — V55_Energy is retained for lineage only. Current results are in the V57_* sheets.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</x:row>
    <x:row r="5">
      <x:c r="A5" s="6" t="str">
        <x:v>mode</x:v>
      </x:c>
      <x:c r="B5" s="6" t="str">
        <x:v>RECONCILE_ONLY</x:v>
      </x:c>
    </x:row>
    <x:row r="6">
      <x:c r="A6" s="6" t="str">
        <x:v>external_pre_cdr_electricity_twh_yr</x:v>
      </x:c>
      <x:c r="B6" s="6" t="n">
        <x:v>86181.327</x:v>
      </x:c>
    </x:row>
    <x:row r="7">
      <x:c r="A7" s="6" t="str">
        <x:v>explicit_supply_candidates_twh_yr.wastewater_plus_food_waste_current_10p3b</x:v>
      </x:c>
      <x:c r="B7" s="6" t="n">
        <x:v>730.7553790746002</x:v>
      </x:c>
    </x:row>
    <x:row r="8">
      <x:c r="A8" s="6" t="str">
        <x:v>explicit_supply_candidates_twh_yr.tidal_net</x:v>
      </x:c>
      <x:c r="B8" s="6" t="n">
        <x:v>1800</x:v>
      </x:c>
    </x:row>
    <x:row r="9">
      <x:c r="A9" s="6" t="str">
        <x:v>explicit_supply_candidates_twh_yr.candidate_supply_total</x:v>
      </x:c>
      <x:c r="B9" s="6" t="n">
        <x:v>2530.7553790746</x:v>
      </x:c>
    </x:row>
    <x:row r="10">
      <x:c r="A10" s="6" t="str">
        <x:v>explicit_load_candidates_twh_yr.seaweed_htl_electricity_plus_hydrogen</x:v>
      </x:c>
      <x:c r="B10" s="6" t="n">
        <x:v>558.0385214630011</x:v>
      </x:c>
    </x:row>
    <x:row r="11">
      <x:c r="A11" s="6" t="str">
        <x:v>explicit_load_candidates_twh_yr.seaweed_grid_harvesting</x:v>
      </x:c>
      <x:c r="B11" s="6" t="n">
        <x:v>15.674804149085904</x:v>
      </x:c>
    </x:row>
    <x:row r="12">
      <x:c r="A12" s="6" t="str">
        <x:v>explicit_load_candidates_twh_yr.seaweed_food_drying_transport_electricity</x:v>
      </x:c>
      <x:c r="B12" s="6" t="n">
        <x:v>16.847500000000004</x:v>
      </x:c>
    </x:row>
    <x:row r="13">
      <x:c r="A13" s="6" t="str">
        <x:v>explicit_load_candidates_twh_yr.seaweed_new_load_total</x:v>
      </x:c>
      <x:c r="B13" s="6" t="n">
        <x:v>590.560825612087</x:v>
      </x:c>
    </x:row>
    <x:row r="14">
      <x:c r="A14" s="6" t="str">
        <x:v>explicit_load_candidates_twh_yr.legacy_detailed_maritime</x:v>
      </x:c>
      <x:c r="B14" s="6" t="n">
        <x:v>15129.77142857143</x:v>
      </x:c>
    </x:row>
    <x:row r="15">
      <x:c r="A15" s="6" t="str">
        <x:v>candidate_supply_minus_new_seaweed_load_twh_yr</x:v>
      </x:c>
      <x:c r="B15" s="6" t="n">
        <x:v>1940.194553462513</x:v>
      </x:c>
    </x:row>
    <x:row r="16">
      <x:c r="A16" s="6" t="str">
        <x:v>food_drying_thermal_heat_twhth_yr</x:v>
      </x:c>
      <x:c r="B16" s="6" t="n">
        <x:v>395.4539158950619</x:v>
      </x:c>
    </x:row>
    <x:row r="17">
      <x:c r="A17" s="6" t="str">
        <x:v>headline_adjustment_twh_yr</x:v>
      </x:c>
      <x:c r="B17" s="6" t="n">
        <x:v>0</x:v>
      </x:c>
    </x:row>
    <x:row r="18">
      <x:c r="A18" s="6" t="str">
        <x:v>rule</x:v>
      </x:c>
      <x:c r="B18" s="6" t="str">
        <x:v>No restored load/supply is added to or subtracted from the V53.1 86,181.327 TWh/yr external pre-CDR electricity screen until that screen is decomposed. The candidate balance is shown only to make the hidden flows visible.</x:v>
      </x:c>
    </x:row>
    <x:row r="19">
      <x:c r="A19" s="6" t="str">
        <x:v>maritime_note</x:v>
      </x:c>
      <x:c r="B19" s="6" t="str">
        <x:v>The detailed maritime electricity value is particularly likely to overlap the technology-neutral V53 transition and external electricity base; it is never added automatically.</x:v>
      </x:c>
    </x:row>
  </x:sheetData>
  <x:mergeCells>
    <x:mergeCell ref="A1:D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5" hidden="0" customWidth="1"/>
    <x:col min="4" max="4" width="40" hidden="0" customWidth="1"/>
    <x:col min="5" max="5" width="32" hidden="0" customWidth="1"/>
    <x:col min="6" max="6" width="65" hidden="0" customWidth="1"/>
  </x:cols>
  <x:sheetData>
    <x:row r="1">
      <x:c r="A1" s="186" t="str">
        <x:v>HISTORICAL / SUPERSEDED — V55_Lineage is retained for lineage only. Current results are in the V57_* sheets.</x:v>
      </x:c>
      <x:c r="B1" s="122"/>
      <x:c r="C1" s="122"/>
      <x:c r="D1" s="122"/>
      <x:c r="E1" s="122"/>
      <x:c r="F1" s="122"/>
    </x:row>
    <x:row r="4">
      <x:c r="A4" s="135" t="str">
        <x:v>module</x:v>
      </x:c>
      <x:c r="B4" s="135" t="str">
        <x:v>source_lineage</x:v>
      </x:c>
      <x:c r="C4" s="135" t="str">
        <x:v>v54_status</x:v>
      </x:c>
      <x:c r="D4" s="135" t="str">
        <x:v>coupling_rule</x:v>
      </x:c>
      <x:c r="E4" s="135" t="str">
        <x:v>v55_status</x:v>
      </x:c>
      <x:c r="F4" s="135" t="str">
        <x:v>v55_coupling_rule</x:v>
      </x:c>
    </x:row>
    <x:row r="5">
      <x:c r="A5" s="6" t="str">
        <x:v>Seaweed SAF / HTL</x:v>
      </x:c>
      <x:c r="B5" s="6" t="str">
        <x:v>v9/v18/v19</x:v>
      </x:c>
      <x:c r="C5" s="6" t="str">
        <x:v>RESTORED</x:v>
      </x:c>
      <x:c r="D5" s="6" t="str">
        <x:v>RECONCILE_ONLY electricity</x:v>
      </x:c>
      <x:c r="E5" s="6" t="str">
        <x:v>MERGED_INTO_V55_UNIFIED_SEAWEED_MODULE</x:v>
      </x:c>
      <x:c r="F5" s="6" t="str">
        <x:v>Historical v9/v18/v19 values retained for lineage only; V55 unified mass balance is authoritative.</x:v>
      </x:c>
    </x:row>
    <x:row r="6">
      <x:c r="A6" s="6" t="str">
        <x:v>Grid seaweed harvester</x:v>
      </x:c>
      <x:c r="B6" s="6" t="str">
        <x:v>v18/v19</x:v>
      </x:c>
      <x:c r="C6" s="6" t="str">
        <x:v>RESTORED</x:v>
      </x:c>
      <x:c r="D6" s="6" t="str">
        <x:v>Physical v19 screen; no raw 3.78x claim</x:v>
      </x:c>
      <x:c r="E6" s="6" t="str">
        <x:v>MERGED_INTO_V55_UNIFIED_SEAWEED_MODULE</x:v>
      </x:c>
      <x:c r="F6" s="6" t="str">
        <x:v>Historical v9/v18/v19 values retained for lineage only; V55 unified mass balance is authoritative.</x:v>
      </x:c>
    </x:row>
    <x:row r="7">
      <x:c r="A7" s="6" t="str">
        <x:v>Seaweed human food</x:v>
      </x:c>
      <x:c r="B7" s="6" t="str">
        <x:v>v11</x:v>
      </x:c>
      <x:c r="C7" s="6" t="str">
        <x:v>RESTORED</x:v>
      </x:c>
      <x:c r="D7" s="6" t="str">
        <x:v>Scenario only</x:v>
      </x:c>
      <x:c r="E7" s="6" t="str">
        <x:v>MERGED_INTO_V55_UNIFIED_SEAWEED_MODULE</x:v>
      </x:c>
      <x:c r="F7" s="6" t="str">
        <x:v>Historical v9/v18/v19 values retained for lineage only; V55 unified mass balance is authoritative.</x:v>
      </x:c>
    </x:row>
    <x:row r="8">
      <x:c r="A8" s="6" t="str">
        <x:v>Wastewater + food-waste bioenergy</x:v>
      </x:c>
      <x:c r="B8" s="6" t="str">
        <x:v>v13</x:v>
      </x:c>
      <x:c r="C8" s="6" t="str">
        <x:v>RESTORED</x:v>
      </x:c>
      <x:c r="D8" s="6" t="str">
        <x:v>RECONCILE_ONLY electricity</x:v>
      </x:c>
      <x:c r="E8" s="6" t="str">
        <x:v>ACTIVE_RECOVERED_MODULE</x:v>
      </x:c>
      <x:c r="F8" s="6" t="str">
        <x:v>RECONCILE_ONLY electricity</x:v>
      </x:c>
    </x:row>
    <x:row r="9">
      <x:c r="A9" s="6" t="str">
        <x:v>N/P/K nutrient loops</x:v>
      </x:c>
      <x:c r="B9" s="6" t="str">
        <x:v>v13</x:v>
      </x:c>
      <x:c r="C9" s="6" t="str">
        <x:v>RESTORED</x:v>
      </x:c>
      <x:c r="D9" s="6" t="str">
        <x:v>Gross legacy capture + V53.1 credited haircut shown together</x:v>
      </x:c>
      <x:c r="E9" s="6" t="str">
        <x:v>ACTIVE_RECOVERED_MODULE</x:v>
      </x:c>
      <x:c r="F9" s="6" t="str">
        <x:v>Gross legacy capture + V53.1 credited haircut shown together</x:v>
      </x:c>
    </x:row>
    <x:row r="10">
      <x:c r="A10" s="6" t="str">
        <x:v>Tidal power</x:v>
      </x:c>
      <x:c r="B10" s="6" t="str">
        <x:v>v14</x:v>
      </x:c>
      <x:c r="C10" s="6" t="str">
        <x:v>RESTORED</x:v>
      </x:c>
      <x:c r="D10" s="6" t="str">
        <x:v>RECONCILE_ONLY supply</x:v>
      </x:c>
      <x:c r="E10" s="6" t="str">
        <x:v>ACTIVE_RECOVERED_MODULE</x:v>
      </x:c>
      <x:c r="F10" s="6" t="str">
        <x:v>RECONCILE_ONLY supply</x:v>
      </x:c>
    </x:row>
    <x:row r="11">
      <x:c r="A11" s="6" t="str">
        <x:v>Storage technology portfolio</x:v>
      </x:c>
      <x:c r="B11" s="6" t="str">
        <x:v>v15</x:v>
      </x:c>
      <x:c r="C11" s="6" t="str">
        <x:v>RESTORED</x:v>
      </x:c>
      <x:c r="D11" s="6" t="str">
        <x:v>Current synthetic 8760 adequacy remains authoritative</x:v>
      </x:c>
      <x:c r="E11" s="6" t="str">
        <x:v>ACTIVE_RECOVERED_MODULE</x:v>
      </x:c>
      <x:c r="F11" s="6" t="str">
        <x:v>Current synthetic 8760 adequacy remains authoritative</x:v>
      </x:c>
    </x:row>
    <x:row r="12">
      <x:c r="A12" s="6" t="str">
        <x:v>Firm-clean options</x:v>
      </x:c>
      <x:c r="B12" s="6" t="str">
        <x:v>v15</x:v>
      </x:c>
      <x:c r="C12" s="6" t="str">
        <x:v>RESTORED</x:v>
      </x:c>
      <x:c r="D12" s="6" t="str">
        <x:v>Old zero-nuclear conclusion superseded</x:v>
      </x:c>
      <x:c r="E12" s="6" t="str">
        <x:v>ACTIVE_RECOVERED_MODULE</x:v>
      </x:c>
      <x:c r="F12" s="6" t="str">
        <x:v>Old zero-nuclear conclusion superseded</x:v>
      </x:c>
    </x:row>
    <x:row r="13">
      <x:c r="A13" s="6" t="str">
        <x:v>Shock resilience suite</x:v>
      </x:c>
      <x:c r="B13" s="6" t="str">
        <x:v>v16</x:v>
      </x:c>
      <x:c r="C13" s="6" t="str">
        <x:v>RESTORED</x:v>
      </x:c>
      <x:c r="D13" s="6" t="str">
        <x:v>Legacy PASS not revalidated</x:v>
      </x:c>
      <x:c r="E13" s="6" t="str">
        <x:v>ACTIVE_RECOVERED_MODULE</x:v>
      </x:c>
      <x:c r="F13" s="6" t="str">
        <x:v>Legacy PASS not revalidated</x:v>
      </x:c>
    </x:row>
    <x:row r="14">
      <x:c r="A14" s="6" t="str">
        <x:v>Tree natural-capital architecture</x:v>
      </x:c>
      <x:c r="B14" s="6" t="str">
        <x:v>v20</x:v>
      </x:c>
      <x:c r="C14" s="6" t="str">
        <x:v>RESTORED</x:v>
      </x:c>
      <x:c r="D14" s="6" t="str">
        <x:v>Policy/valuation layer</x:v>
      </x:c>
      <x:c r="E14" s="6" t="str">
        <x:v>ACTIVE_RECOVERED_MODULE</x:v>
      </x:c>
      <x:c r="F14" s="6" t="str">
        <x:v>Policy/valuation layer</x:v>
      </x:c>
    </x:row>
    <x:row r="15">
      <x:c r="A15" s="6" t="str">
        <x:v>National genesis allocation</x:v>
      </x:c>
      <x:c r="B15" s="6" t="str">
        <x:v>v20</x:v>
      </x:c>
      <x:c r="C15" s="6" t="str">
        <x:v>RESTORED</x:v>
      </x:c>
      <x:c r="D15" s="6" t="str">
        <x:v>Policy architecture</x:v>
      </x:c>
      <x:c r="E15" s="6" t="str">
        <x:v>ACTIVE_RECOVERED_MODULE</x:v>
      </x:c>
      <x:c r="F15" s="6" t="str">
        <x:v>Policy architecture</x:v>
      </x:c>
    </x:row>
    <x:row r="16">
      <x:c r="A16" s="6" t="str">
        <x:v>Country contribution equalizer</x:v>
      </x:c>
      <x:c r="B16" s="6" t="str">
        <x:v>v21</x:v>
      </x:c>
      <x:c r="C16" s="6" t="str">
        <x:v>RESTORED</x:v>
      </x:c>
      <x:c r="D16" s="6" t="str">
        <x:v>Technology-neutral fairness layer</x:v>
      </x:c>
      <x:c r="E16" s="6" t="str">
        <x:v>ACTIVE_RECOVERED_MODULE</x:v>
      </x:c>
      <x:c r="F16" s="6" t="str">
        <x:v>Technology-neutral fairness layer</x:v>
      </x:c>
    </x:row>
    <x:row r="17">
      <x:c r="A17" s="6" t="str">
        <x:v>Parallel settlement / Bitcoin leakage</x:v>
      </x:c>
      <x:c r="B17" s="6" t="str">
        <x:v>v22</x:v>
      </x:c>
      <x:c r="C17" s="6" t="str">
        <x:v>RESTORED</x:v>
      </x:c>
      <x:c r="D17" s="6" t="str">
        <x:v>Governance sensitivity</x:v>
      </x:c>
      <x:c r="E17" s="6" t="str">
        <x:v>ACTIVE_RECOVERED_MODULE</x:v>
      </x:c>
      <x:c r="F17" s="6" t="str">
        <x:v>Governance sensitivity</x:v>
      </x:c>
    </x:row>
    <x:row r="18">
      <x:c r="A18" s="6" t="str">
        <x:v>Sanctions governance</x:v>
      </x:c>
      <x:c r="B18" s="6" t="str">
        <x:v>v21</x:v>
      </x:c>
      <x:c r="C18" s="6" t="str">
        <x:v>RESTORED</x:v>
      </x:c>
      <x:c r="D18" s="6" t="str">
        <x:v>Governance sensitivity</x:v>
      </x:c>
      <x:c r="E18" s="6" t="str">
        <x:v>ACTIVE_RECOVERED_MODULE</x:v>
      </x:c>
      <x:c r="F18" s="6" t="str">
        <x:v>Governance sensitivity</x:v>
      </x:c>
    </x:row>
    <x:row r="19">
      <x:c r="A19" s="6" t="str">
        <x:v>Dollar transition context</x:v>
      </x:c>
      <x:c r="B19" s="6" t="str">
        <x:v>v22</x:v>
      </x:c>
      <x:c r="C19" s="6" t="str">
        <x:v>RESTORED</x:v>
      </x:c>
      <x:c r="D19" s="6" t="str">
        <x:v>Context; not deterministic de-dollarization</x:v>
      </x:c>
      <x:c r="E19" s="6" t="str">
        <x:v>ACTIVE_RECOVERED_MODULE</x:v>
      </x:c>
      <x:c r="F19" s="6" t="str">
        <x:v>Context; not deterministic de-dollarization</x:v>
      </x:c>
    </x:row>
    <x:row r="20">
      <x:c r="A20" s="6" t="str">
        <x:v>No-new-burden + protected transactions</x:v>
      </x:c>
      <x:c r="B20" s="6" t="str">
        <x:v>v22</x:v>
      </x:c>
      <x:c r="C20" s="6" t="str">
        <x:v>RESTORED</x:v>
      </x:c>
      <x:c r="D20" s="6" t="str">
        <x:v>Current settlement cap shown beside legacy benchmark</x:v>
      </x:c>
      <x:c r="E20" s="6" t="str">
        <x:v>ACTIVE_RECOVERED_MODULE</x:v>
      </x:c>
      <x:c r="F20" s="6" t="str">
        <x:v>Current settlement cap shown beside legacy benchmark</x:v>
      </x:c>
    </x:row>
    <x:row r="21">
      <x:c r="A21" s="6" t="str">
        <x:v>Food + universal basic health budget</x:v>
      </x:c>
      <x:c r="B21" s="6" t="str">
        <x:v>v22</x:v>
      </x:c>
      <x:c r="C21" s="6" t="str">
        <x:v>RESTORED</x:v>
      </x:c>
      <x:c r="D21" s="6" t="str">
        <x:v>Resource screen</x:v>
      </x:c>
      <x:c r="E21" s="6" t="str">
        <x:v>ACTIVE_RECOVERED_MODULE</x:v>
      </x:c>
      <x:c r="F21" s="6" t="str">
        <x:v>Resource screen</x:v>
      </x:c>
    </x:row>
    <x:row r="22">
      <x:c r="A22" s="6" t="str">
        <x:v>Distributed AI/data-center banking transition</x:v>
      </x:c>
      <x:c r="B22" s="6" t="str">
        <x:v>v23</x:v>
      </x:c>
      <x:c r="C22" s="6" t="str">
        <x:v>RESTORED</x:v>
      </x:c>
      <x:c r="D22" s="6" t="str">
        <x:v>Implementation/economic screen</x:v>
      </x:c>
      <x:c r="E22" s="6" t="str">
        <x:v>ACTIVE_RECOVERED_MODULE</x:v>
      </x:c>
      <x:c r="F22" s="6" t="str">
        <x:v>Implementation/economic screen</x:v>
      </x:c>
    </x:row>
    <x:row r="23">
      <x:c r="A23" s="6" t="str">
        <x:v>Los Jardines Cella demonstration archetype</x:v>
      </x:c>
      <x:c r="B23" s="6" t="str">
        <x:v>v23</x:v>
      </x:c>
      <x:c r="C23" s="6" t="str">
        <x:v>RESTORED</x:v>
      </x:c>
      <x:c r="D23" s="6" t="str">
        <x:v>Design model, not operational deployment</x:v>
      </x:c>
      <x:c r="E23" s="6" t="str">
        <x:v>ACTIVE_RECOVERED_MODULE</x:v>
      </x:c>
      <x:c r="F23" s="6" t="str">
        <x:v>Design model, not operational deployment</x:v>
      </x:c>
    </x:row>
    <x:row r="24">
      <x:c r="A24" s="6" t="str">
        <x:v>Workforce transition</x:v>
      </x:c>
      <x:c r="B24" s="6" t="str">
        <x:v>v21</x:v>
      </x:c>
      <x:c r="C24" s="6" t="str">
        <x:v>RESTORED</x:v>
      </x:c>
      <x:c r="D24" s="6" t="str">
        <x:v>Planning stress, not forecast</x:v>
      </x:c>
      <x:c r="E24" s="6" t="str">
        <x:v>ACTIVE_RECOVERED_MODULE</x:v>
      </x:c>
      <x:c r="F24" s="6" t="str">
        <x:v>Planning stress, not forecast</x:v>
      </x:c>
    </x:row>
    <x:row r="25">
      <x:c r="A25" s="6" t="str">
        <x:v>Detailed maritime decarbonization</x:v>
      </x:c>
      <x:c r="B25" s="6" t="str">
        <x:v>v8/v9</x:v>
      </x:c>
      <x:c r="C25" s="6" t="str">
        <x:v>RESTORED</x:v>
      </x:c>
      <x:c r="D25" s="6" t="str">
        <x:v>RECONCILE_ONLY load</x:v>
      </x:c>
      <x:c r="E25" s="6" t="str">
        <x:v>ACTIVE_RECOVERED_MODULE</x:v>
      </x:c>
      <x:c r="F25" s="6" t="str">
        <x:v>RECONCILE_ONLY load</x:v>
      </x:c>
    </x:row>
    <x:row r="26">
      <x:c r="A26" s="6" t="str">
        <x:v>Cross-border fee/equalizer funding</x:v>
      </x:c>
      <x:c r="B26" s="6" t="str">
        <x:v>v21</x:v>
      </x:c>
      <x:c r="C26" s="6" t="str">
        <x:v>RESTORED</x:v>
      </x:c>
      <x:c r="D26" s="6" t="str">
        <x:v>Old restoration dates superseded</x:v>
      </x:c>
      <x:c r="E26" s="6" t="str">
        <x:v>ACTIVE_RECOVERED_MODULE</x:v>
      </x:c>
      <x:c r="F26" s="6" t="str">
        <x:v>Old restoration dates superseded</x:v>
      </x:c>
    </x:row>
    <x:row r="27">
      <x:c r="A27" s="6" t="str">
        <x:v>Current water/seaweed/nutrients/plastics core screens</x:v>
      </x:c>
      <x:c r="B27" s="6" t="str">
        <x:v>V53.1 source</x:v>
      </x:c>
      <x:c r="C27" s="6" t="str">
        <x:v>RE-EXPOSED</x:v>
      </x:c>
      <x:c r="D27" s="6" t="str">
        <x:v>Were present in source but missing from release wrapper</x:v>
      </x:c>
      <x:c r="E27" s="6" t="str">
        <x:v>ACTIVE_RECOVERED_MODULE</x:v>
      </x:c>
      <x:c r="F27" s="6" t="str">
        <x:v>Were present in source but missing from release wrapper</x:v>
      </x:c>
    </x:row>
    <x:row r="28">
      <x:c r="A28" s="6" t="str">
        <x:v>CSP + HTL seaweed process integration</x:v>
      </x:c>
      <x:c r="B28" s="6" t="str">
        <x:v>v18/v19</x:v>
      </x:c>
      <x:c r="C28" s="6" t="str">
        <x:v>RESTORED</x:v>
      </x:c>
      <x:c r="D28" s="6" t="str">
        <x:v>Legacy process-energy screen</x:v>
      </x:c>
      <x:c r="E28" s="6" t="str">
        <x:v>MERGED_INTO_V55_UNIFIED_SEAWEED_MODULE</x:v>
      </x:c>
      <x:c r="F28" s="6" t="str">
        <x:v>V55 uses the integrated 1.465 Gt/yr biomass allocation and scales direct solar heat/electric-H2 process demand consistently.</x:v>
      </x:c>
    </x:row>
    <x:row r="29">
      <x:c r="A29" s="6" t="str">
        <x:v>Strategic seaweed fuel reserve</x:v>
      </x:c>
      <x:c r="B29" s="6" t="str">
        <x:v>V54 seaweed branch</x:v>
      </x:c>
      <x:c r="C29" s="6" t="str">
        <x:v>NEW_IN_V54_SEAWEED_BRANCH</x:v>
      </x:c>
      <x:c r="D29" s="6" t="str">
        <x:v>Working carbon stock</x:v>
      </x:c>
      <x:c r="E29" s="6" t="str">
        <x:v>ACTIVE_INTEGRATED_MODULE</x:v>
      </x:c>
      <x:c r="F29" s="6" t="str">
        <x:v>Fuel placed into reserve is subtracted from same-year delivered fuel; reserve carbon is not durable CDR.</x:v>
      </x:c>
    </x:row>
    <x:row r="30">
      <x:c r="A30" s="6" t="str">
        <x:v>Standing seaweed farm carbon stock</x:v>
      </x:c>
      <x:c r="B30" s="6" t="str">
        <x:v>V54 seaweed branch</x:v>
      </x:c>
      <x:c r="C30" s="6" t="str">
        <x:v>NEW_IN_V54_SEAWEED_BRANCH</x:v>
      </x:c>
      <x:c r="D30" s="6" t="str">
        <x:v>Working carbon stock</x:v>
      </x:c>
      <x:c r="E30" s="6" t="str">
        <x:v>ACTIVE_INTEGRATED_MODULE</x:v>
      </x:c>
      <x:c r="F30" s="6" t="str">
        <x:v>Reported as temporary stock; not added to permanent CDR.</x:v>
      </x:c>
    </x:row>
    <x:row r="31">
      <x:c r="A31" s="6" t="str">
        <x:v>Heavy-equipment low-carbon liquid fuel</x:v>
      </x:c>
      <x:c r="B31" s="6" t="str">
        <x:v>V54 seaweed branch</x:v>
      </x:c>
      <x:c r="C31" s="6" t="str">
        <x:v>NEW_IN_V54_SEAWEED_BRANCH</x:v>
      </x:c>
      <x:c r="D31" s="6" t="str">
        <x:v>Technology implementation</x:v>
      </x:c>
      <x:c r="E31" s="6" t="str">
        <x:v>ACTIVE_INTEGRATED_MODULE</x:v>
      </x:c>
      <x:c r="F31" s="6" t="str">
        <x:v>25% of finished V55 seaweed liquid-fuel energy in the central allocation; primary climate case does not double-count generic V53 transition abatement.</x:v>
      </x:c>
    </x:row>
    <x:row r="32">
      <x:c r="A32" s="6" t="str">
        <x:v>Seaweed farm habitat + edible aquatic co-culture</x:v>
      </x:c>
      <x:c r="B32" s="6" t="str">
        <x:v>V54 seaweed branch</x:v>
      </x:c>
      <x:c r="C32" s="6" t="str">
        <x:v>NEW_IN_V54_SEAWEED_BRANCH</x:v>
      </x:c>
      <x:c r="D32" s="6" t="str">
        <x:v>Scenario only</x:v>
      </x:c>
      <x:c r="E32" s="6" t="str">
        <x:v>ACTIVE_SCREEN</x:v>
      </x:c>
      <x:c r="F32" s="6" t="str">
        <x:v>Physical habitat footprint reported; illustrative edible aquatic production remains outside the core fish-stock headline.</x:v>
      </x:c>
    </x:row>
    <x:row r="33">
      <x:c r="A33" s="6" t="str">
        <x:v>Durable seaweed storage / BiCRS land relief</x:v>
      </x:c>
      <x:c r="B33" s="6" t="str">
        <x:v>V54 seaweed branch</x:v>
      </x:c>
      <x:c r="C33" s="6" t="str">
        <x:v>NEW_IN_V54_SEAWEED_BRANCH</x:v>
      </x:c>
      <x:c r="D33" s="6" t="str">
        <x:v>Substitution</x:v>
      </x:c>
      <x:c r="E33" s="6" t="str">
        <x:v>ACTIVE_SENSITIVITY</x:v>
      </x:c>
      <x:c r="F33" s="6" t="str">
        <x:v>Substitutes for part of existing BiCRS feedstock; never stacked as extra CDR.</x:v>
      </x:c>
    </x:row>
  </x:sheetData>
  <x:mergeCells>
    <x:mergeCell ref="A1:F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78" hidden="0" customWidth="1"/>
    <x:col min="4" max="4" width="28" hidden="0" customWidth="1"/>
  </x:cols>
  <x:sheetData>
    <x:row r="1">
      <x:c r="A1" s="186" t="str">
        <x:v>HISTORICAL / SUPERSEDED — V55_Sources is retained for lineage only. Current results are in the V57_* sheets.</x:v>
      </x:c>
      <x:c r="B1" s="122"/>
      <x:c r="C1" s="122"/>
      <x:c r="D1" s="122"/>
    </x:row>
    <x:row r="3">
      <x:c r="A3" s="135" t="str">
        <x:v>Source</x:v>
      </x:c>
      <x:c r="B3" s="135" t="str">
        <x:v>Use in V55</x:v>
      </x:c>
      <x:c r="C3" s="135" t="str">
        <x:v>URL / package path</x:v>
      </x:c>
      <x:c r="D3" s="135" t="str">
        <x:v>Status</x:v>
      </x:c>
    </x:row>
    <x:row r="4">
      <x:c r="A4" s="6" t="str">
        <x:v>V53.1 Earth-system core</x:v>
      </x:c>
      <x:c r="B4" s="6" t="str">
        <x:v>Authoritative climate/CDR core</x:v>
      </x:c>
      <x:c r="C4" s="6" t="str">
        <x:v>previous_branches/planetary_restoration_model_v53_1.py</x:v>
      </x:c>
      <x:c r="D4" s="6" t="str">
        <x:v>Inherited primary</x:v>
      </x:c>
    </x:row>
    <x:row r="5">
      <x:c r="A5" s="6" t="str">
        <x:v>Los Jardines Integrated Global Model v19</x:v>
      </x:c>
      <x:c r="B5" s="6" t="str">
        <x:v>Grid Harvester physical reconstruction</x:v>
      </x:c>
      <x:c r="C5" s="6" t="str">
        <x:v>references/Los_Jardines_Integrated_Global_Model_v19.xlsx</x:v>
      </x:c>
      <x:c r="D5" s="6" t="str">
        <x:v>Recovered</x:v>
      </x:c>
    </x:row>
    <x:row r="6">
      <x:c r="A6" s="6" t="str">
        <x:v>CV-vs-Grid</x:v>
      </x:c>
      <x:c r="B6" s="6" t="str">
        <x:v>Underlying harvester concept</x:v>
      </x:c>
      <x:c r="C6" s="6" t="str">
        <x:v>references/CV-vs-Grid.pdf</x:v>
      </x:c>
      <x:c r="D6" s="6" t="str">
        <x:v>Historical engineering source</x:v>
      </x:c>
    </x:row>
    <x:row r="7">
      <x:c r="A7" s="6" t="str">
        <x:v>Los Jardines Global Crypto Equalizer v21</x:v>
      </x:c>
      <x:c r="B7" s="6" t="str">
        <x:v>Food, population, wastewater, nutrients, tidal, shocks, governance lineage</x:v>
      </x:c>
      <x:c r="C7" s="6" t="str">
        <x:v>references/Los_Jardines_Global_Crypto_Equalizer_v21.xlsx</x:v>
      </x:c>
      <x:c r="D7" s="6" t="str">
        <x:v>Recovered</x:v>
      </x:c>
    </x:row>
    <x:row r="8">
      <x:c r="A8" s="6" t="str">
        <x:v>UN World Population Prospects 2024</x:v>
      </x:c>
      <x:c r="B8" s="6" t="str">
        <x:v>10.3B demographic peak reference</x:v>
      </x:c>
      <x:c r="C8" s="6" t="str">
        <x:v>https://www.un.org/sustainabledevelopment/blog/2024/07/press-release-wpp2024/</x:v>
      </x:c>
      <x:c r="D8" s="6" t="str">
        <x:v>External reference</x:v>
      </x:c>
    </x:row>
    <x:row r="9">
      <x:c r="A9" s="6" t="str">
        <x:v>Gerten et al. 2020</x:v>
      </x:c>
      <x:c r="B9" s="6" t="str">
        <x:v>10.2B transformed terrestrial-food benchmark</x:v>
      </x:c>
      <x:c r="C9" s="6" t="str">
        <x:v>https://www.nature.com/articles/s41893-019-0465-1</x:v>
      </x:c>
      <x:c r="D9" s="6" t="str">
        <x:v>External evidence anchor</x:v>
      </x:c>
    </x:row>
    <x:row r="10">
      <x:c r="A10" s="6" t="str">
        <x:v>FAO edible seaweed reference</x:v>
      </x:c>
      <x:c r="B10" s="6" t="str">
        <x:v>Food composition / safety lineage</x:v>
      </x:c>
      <x:c r="C10" s="6" t="str">
        <x:v>https://www.fao.org/4/y4765e/y4765e0b.htm</x:v>
      </x:c>
      <x:c r="D10" s="6" t="str">
        <x:v>External reference</x:v>
      </x:c>
    </x:row>
  </x:sheetData>
  <x:mergeCells>
    <x:mergeCell ref="A1:D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186" t="str">
        <x:v>HISTORICAL / SUPERSEDED — V56_Seaweed is retained for lineage only. Current results are in the V57_* sheets.</x:v>
      </x:c>
      <x:c r="B1" s="153"/>
      <x:c r="C1" s="153"/>
      <x:c r="D1" s="153"/>
      <x:c r="E1" s="153"/>
      <x:c r="F1" s="153"/>
      <x:c r="G1" s="153"/>
      <x:c r="H1" s="153"/>
    </x:row>
    <x:row r="3">
      <x:c r="A3" s="168" t="str">
        <x:v>Primary V56 seaweed production is limited to biomass supported by explicitly credited eutrophic N/P. The 1.465 Gt dry/yr figure remains a managed-nutrient geometric potential requiring ~21.2 Mt N/yr and ~0.86 Mt P/yr of additional demonstrated flux.</x:v>
      </x:c>
      <x:c r="B3" s="168"/>
      <x:c r="C3" s="168"/>
      <x:c r="D3" s="168"/>
      <x:c r="E3" s="168"/>
      <x:c r="F3" s="168"/>
      <x:c r="G3" s="168"/>
      <x:c r="H3" s="168"/>
    </x:row>
    <x:row r="5">
      <x:c r="A5" s="171" t="str">
        <x:v>scenario</x:v>
      </x:c>
      <x:c r="B5" s="171" t="str">
        <x:v>status</x:v>
      </x:c>
      <x:c r="C5" s="171" t="str">
        <x:v>dry_biomass_Gt_yr</x:v>
      </x:c>
      <x:c r="D5" s="171" t="str">
        <x:v>yield_t_ha_yr</x:v>
      </x:c>
      <x:c r="E5" s="171" t="str">
        <x:v>ash_fraction</x:v>
      </x:c>
      <x:c r="F5" s="171" t="str">
        <x:v>food_Mt_yr</x:v>
      </x:c>
      <x:c r="G5" s="171" t="str">
        <x:v>digestible_protein_Mt_yr</x:v>
      </x:c>
      <x:c r="H5" s="171" t="str">
        <x:v>finished_fuel_TWh_yr</x:v>
      </x:c>
      <x:c r="I5" s="171" t="str">
        <x:v>grid_harvest_TWh_yr</x:v>
      </x:c>
      <x:c r="J5" s="171" t="str">
        <x:v>500kcal_gap_people_M_floor</x:v>
      </x:c>
      <x:c r="K5" s="171" t="str">
        <x:v>500kcal_gap_people_M_gross_upper</x:v>
      </x:c>
    </x:row>
    <x:row r="6">
      <x:c r="A6" s="6" t="str">
        <x:v>nutrient_closed_central</x:v>
      </x:c>
      <x:c r="B6" s="6" t="str">
        <x:v>V56_PRIMARY_SEAWEED_PHYSICAL_SCREEN_WITH_ONLY_EXPLICITLY_CREDITED_EUTROPHIC_N_AND_P</x:v>
      </x:c>
      <x:c r="C6" s="183" t="n">
        <x:v>0.253</x:v>
      </x:c>
      <x:c r="D6" s="183" t="n">
        <x:v>4.31</x:v>
      </x:c>
      <x:c r="E6" s="183" t="n">
        <x:v>0.25</x:v>
      </x:c>
      <x:c r="F6" s="183" t="n">
        <x:v>12.63</x:v>
      </x:c>
      <x:c r="G6" s="183" t="n">
        <x:v>0.88</x:v>
      </x:c>
      <x:c r="H6" s="183" t="n">
        <x:v>307.7</x:v>
      </x:c>
      <x:c r="I6" s="183" t="n">
        <x:v>2.7</x:v>
      </x:c>
      <x:c r="J6" s="183" t="n">
        <x:v>16.5</x:v>
      </x:c>
      <x:c r="K6" s="183" t="n">
        <x:v>117.6</x:v>
      </x:c>
    </x:row>
    <x:row r="7">
      <x:c r="A7" s="6" t="str">
        <x:v>ecosystem_accumulation_benchmark</x:v>
      </x:c>
      <x:c r="B7" s="6" t="str">
        <x:v>EXTERNAL_ECOLOGICAL_BENCHMARK_NOT_A_FARM_YIELD_CAP_OR_PRIMARY_PRODUCTION_CASE</x:v>
      </x:c>
      <x:c r="C7" s="183" t="n">
        <x:v>0.302</x:v>
      </x:c>
      <x:c r="D7" s="183" t="n">
        <x:v>5.15</x:v>
      </x:c>
      <x:c r="E7" s="183" t="n">
        <x:v>0.25</x:v>
      </x:c>
      <x:c r="F7" s="183" t="n">
        <x:v>15.1</x:v>
      </x:c>
      <x:c r="G7" s="183" t="n">
        <x:v>1.06</x:v>
      </x:c>
      <x:c r="H7" s="183" t="n">
        <x:v>367.9</x:v>
      </x:c>
      <x:c r="I7" s="183" t="n">
        <x:v>3.23</x:v>
      </x:c>
      <x:c r="J7" s="183" t="n">
        <x:v>19.7</x:v>
      </x:c>
      <x:c r="K7" s="183" t="n">
        <x:v>140.7</x:v>
      </x:c>
    </x:row>
    <x:row r="8">
      <x:c r="A8" s="6" t="str">
        <x:v>managed_nutrient_full_geometric_potential</x:v>
      </x:c>
      <x:c r="B8" s="6" t="str">
        <x:v>HIGH_ENGINEERING_SCENARIO_REQUIRES_REGIONAL_DEMONSTRATION_OF_SUPPLEMENTAL_OR_NATURAL_NUTRIENT_FLUX</x:v>
      </x:c>
      <x:c r="C8" s="183" t="n">
        <x:v>1.465</x:v>
      </x:c>
      <x:c r="D8" s="183" t="n">
        <x:v>25</x:v>
      </x:c>
      <x:c r="E8" s="183" t="n">
        <x:v>0.25</x:v>
      </x:c>
      <x:c r="F8" s="183" t="n">
        <x:v>73.25</x:v>
      </x:c>
      <x:c r="G8" s="183" t="n">
        <x:v>5.13</x:v>
      </x:c>
      <x:c r="H8" s="183" t="n">
        <x:v>1784.9</x:v>
      </x:c>
      <x:c r="I8" s="183" t="n">
        <x:v>15.67</x:v>
      </x:c>
      <x:c r="J8" s="183" t="n">
        <x:v>95.5</x:v>
      </x:c>
      <x:c r="K8" s="183" t="n">
        <x:v>682.3</x:v>
      </x:c>
    </x:row>
    <x:row r="10">
      <x:c r="A10" s="171" t="str">
        <x:v>Nutrition boundary</x:v>
      </x:c>
      <x:c r="B10" s="171" t="str">
        <x:v>Value</x:v>
      </x:c>
      <x:c r="C10" s="171" t="str">
        <x:v>Unit</x:v>
      </x:c>
      <x:c r="D10" s="171" t="str">
        <x:v>Meaning</x:v>
      </x:c>
    </x:row>
    <x:row r="11">
      <x:c r="A11" t="str">
        <x:v>Protein fraction</x:v>
      </x:c>
      <x:c r="B11" t="n">
        <x:v>0.1</x:v>
      </x:c>
      <x:c r="C11" t="str">
        <x:v>dry mass</x:v>
      </x:c>
      <x:c r="D11" t="str">
        <x:v>Scenario; varies by species and season.</x:v>
      </x:c>
    </x:row>
    <x:row r="12">
      <x:c r="A12" t="str">
        <x:v>Human protein digestibility screen</x:v>
      </x:c>
      <x:c r="B12" t="n">
        <x:v>0.7</x:v>
      </x:c>
      <x:c r="C12" t="str">
        <x:v>fraction</x:v>
      </x:c>
      <x:c r="D12" t="str">
        <x:v>Undaria human-study screen; not universal across seaweeds.</x:v>
      </x:c>
    </x:row>
    <x:row r="13">
      <x:c r="A13" t="str">
        <x:v>Protein-only energy floor</x:v>
      </x:c>
      <x:c r="B13" t="n">
        <x:v>280</x:v>
      </x:c>
      <x:c r="C13" t="str">
        <x:v>kcal/kg dry</x:v>
      </x:c>
      <x:c r="D13" t="str">
        <x:v>Intentionally conservative; ignores digestible/fermented carbohydrate energy.</x:v>
      </x:c>
    </x:row>
    <x:row r="14">
      <x:c r="A14" t="str">
        <x:v>Legacy gross-energy upper</x:v>
      </x:c>
      <x:c r="B14" t="n">
        <x:v>2000</x:v>
      </x:c>
      <x:c r="C14" t="str">
        <x:v>kcal/kg dry</x:v>
      </x:c>
      <x:c r="D14" t="str">
        <x:v>Retained only as gross/composition upper screen, not metabolizable energy.</x:v>
      </x:c>
    </x:row>
    <x:row r="17">
      <x:c r="A17" s="171" t="str">
        <x:v>Ash sensitivity</x:v>
      </x:c>
      <x:c r="B17" s="171" t="str">
        <x:v>Ash fraction</x:v>
      </x:c>
      <x:c r="C17" s="171" t="str">
        <x:v>17% yield effective on total dry</x:v>
      </x:c>
      <x:c r="D17" s="171" t="str">
        <x:v>Interpretation</x:v>
      </x:c>
    </x:row>
    <x:row r="18">
      <x:c r="A18" t="str">
        <x:v>Low ash</x:v>
      </x:c>
      <x:c r="B18" t="n">
        <x:v>0.2</x:v>
      </x:c>
      <x:c r="C18" t="n">
        <x:v>0.136</x:v>
      </x:c>
      <x:c r="D18" t="str">
        <x:v>Yield applied only to ash-free organic dry matter.</x:v>
      </x:c>
    </x:row>
    <x:row r="19">
      <x:c r="A19" t="str">
        <x:v>Central</x:v>
      </x:c>
      <x:c r="B19" t="n">
        <x:v>0.25</x:v>
      </x:c>
      <x:c r="C19" t="n">
        <x:v>0.1275</x:v>
      </x:c>
      <x:c r="D19" t="str">
        <x:v>V56 central screen.</x:v>
      </x:c>
    </x:row>
    <x:row r="20">
      <x:c r="A20" t="str">
        <x:v>High ash</x:v>
      </x:c>
      <x:c r="B20" t="n">
        <x:v>0.35</x:v>
      </x:c>
      <x:c r="C20" t="n">
        <x:v>0.1105</x:v>
      </x:c>
      <x:c r="D20" t="str">
        <x:v>Lower finished-fuel yield per tonne total dry biomass.</x:v>
      </x:c>
    </x:row>
    <x:row r="21">
      <x:c r="A21" t="str">
        <x:v>Rule</x:v>
      </x:c>
      <x:c r="B21" t="str"/>
      <x:c r="C21" t="str"/>
      <x:c r="D21" t="str">
        <x:v>Process energy still sees total feedstock; finished fuel mass uses ash-free organic fraction.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28" hidden="0" customWidth="1"/>
    <x:col min="4" max="4" width="5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86" t="str">
        <x:v>HISTORICAL / SUPERSEDED — V56_V53_Adverse is retained for lineage only. Current results are in the V57_* sheets.</x:v>
      </x:c>
      <x:c r="B1" s="153"/>
      <x:c r="C1" s="153"/>
      <x:c r="D1" s="153"/>
      <x:c r="E1" s="153"/>
      <x:c r="F1" s="153"/>
      <x:c r="G1" s="153"/>
      <x:c r="H1" s="153"/>
    </x:row>
    <x:row r="3">
      <x:c r="A3" s="171" t="str">
        <x:v>Result</x:v>
      </x:c>
      <x:c r="B3" s="171" t="str">
        <x:v>Value</x:v>
      </x:c>
      <x:c r="C3" s="171" t="str">
        <x:v>Status</x:v>
      </x:c>
      <x:c r="D3" s="171" t="str">
        <x:v>Interpretation</x:v>
      </x:c>
    </x:row>
    <x:row r="4">
      <x:c r="A4" t="str">
        <x:v>Synthetic grid adequacy</x:v>
      </x:c>
      <x:c r="B4" t="str">
        <x:v>4/4 fail</x:v>
      </x:c>
      <x:c r="C4" t="str">
        <x:v>ADVERSE / RETAINED</x:v>
      </x:c>
      <x:c r="D4" t="str">
        <x:v>0.01% unserved-energy criterion.</x:v>
      </x:c>
    </x:row>
    <x:row r="5">
      <x:c r="A5" t="str">
        <x:v>VRE overbuild frontier</x:v>
      </x:c>
      <x:c r="B5" t="str">
        <x:v>1.221–1.542×</x:v>
      </x:c>
      <x:c r="C5" t="str">
        <x:v>RETAINED</x:v>
      </x:c>
      <x:c r="D5" t="str">
        <x:v>Fixed storage/firm-share synthetic cases.</x:v>
      </x:c>
    </x:row>
    <x:row r="6">
      <x:c r="A6" t="str">
        <x:v>Monetary liquidity</x:v>
      </x:c>
      <x:c r="B6" t="str">
        <x:v>3/6 fail</x:v>
      </x:c>
      <x:c r="C6" t="str">
        <x:v>ADVERSE / RETAINED</x:v>
      </x:c>
      <x:c r="D6" t="str">
        <x:v>Liquidity shock, Severe combined, Thirty-day run</x:v>
      </x:c>
    </x:row>
    <x:row r="7">
      <x:c r="A7" t="str">
        <x:v>Severe collection stress</x:v>
      </x:c>
      <x:c r="B7" t="str">
        <x:v>does not return by 2400</x:v>
      </x:c>
      <x:c r="C7" t="str">
        <x:v>ADVERSE / RETAINED</x:v>
      </x:c>
      <x:c r="D7" t="str">
        <x:v>Funding scale falls to ~20% and physical state is right-censored.</x:v>
      </x:c>
    </x:row>
    <x:row r="8">
      <x:c r="A8" t="str">
        <x:v>Joos fast box</x:v>
      </x:c>
      <x:c r="B8" t="str">
        <x:v>negative from 2043</x:v>
      </x:c>
      <x:c r="C8" t="str">
        <x:v>WARNING</x:v>
      </x:c>
      <x:c r="D8" t="str">
        <x:v>Joos diagnostic is outside a physically credible regime for a headline restoration date.</x:v>
      </x:c>
    </x:row>
    <x:row r="11">
      <x:c r="A11" s="158" t="str">
        <x:v>V53.1 monetary liquidity cases</x:v>
      </x:c>
      <x:c r="B11" s="158"/>
      <x:c r="C11" s="158"/>
      <x:c r="D11" s="158"/>
      <x:c r="E11" s="158"/>
    </x:row>
    <x:row r="12">
      <x:c r="A12" s="171" t="str">
        <x:v>case</x:v>
      </x:c>
      <x:c r="B12" s="171" t="str">
        <x:v>pass</x:v>
      </x:c>
      <x:c r="C12" s="171" t="str">
        <x:v>redemption_coverage</x:v>
      </x:c>
      <x:c r="D12" s="171" t="str">
        <x:v>post_redemption_net_reserve_ratio</x:v>
      </x:c>
      <x:c r="E12" s="171" t="str">
        <x:v>emergency_credit_draw</x:v>
      </x:c>
    </x:row>
    <x:row r="13">
      <x:c r="A13" s="6" t="str">
        <x:v>Base</x:v>
      </x:c>
      <x:c r="B13" s="173" t="b">
        <x:v>1</x:v>
      </x:c>
      <x:c r="C13" s="6" t="n">
        <x:v>1</x:v>
      </x:c>
      <x:c r="D13" s="6" t="n">
        <x:v>1.111</x:v>
      </x:c>
      <x:c r="E13" s="6" t="n">
        <x:v>0</x:v>
      </x:c>
    </x:row>
    <x:row r="14">
      <x:c r="A14" s="6" t="str">
        <x:v>Timber +30%, moderate redemption</x:v>
      </x:c>
      <x:c r="B14" s="173" t="b">
        <x:v>1</x:v>
      </x:c>
      <x:c r="C14" s="6" t="n">
        <x:v>1</x:v>
      </x:c>
      <x:c r="D14" s="6" t="n">
        <x:v>1.105</x:v>
      </x:c>
      <x:c r="E14" s="6" t="n">
        <x:v>0</x:v>
      </x:c>
    </x:row>
    <x:row r="15">
      <x:c r="A15" s="6" t="str">
        <x:v>Timber -30%, moderate redemption</x:v>
      </x:c>
      <x:c r="B15" s="173" t="b">
        <x:v>1</x:v>
      </x:c>
      <x:c r="C15" s="6" t="n">
        <x:v>1</x:v>
      </x:c>
      <x:c r="D15" s="6" t="n">
        <x:v>1.086</x:v>
      </x:c>
      <x:c r="E15" s="6" t="n">
        <x:v>0</x:v>
      </x:c>
    </x:row>
    <x:row r="16">
      <x:c r="A16" s="6" t="str">
        <x:v>Liquidity shock</x:v>
      </x:c>
      <x:c r="B16" s="173" t="b">
        <x:v>0</x:v>
      </x:c>
      <x:c r="C16" s="6" t="n">
        <x:v>1</x:v>
      </x:c>
      <x:c r="D16" s="6" t="n">
        <x:v>0.925</x:v>
      </x:c>
      <x:c r="E16" s="6" t="n">
        <x:v>0</x:v>
      </x:c>
    </x:row>
    <x:row r="17">
      <x:c r="A17" s="6" t="str">
        <x:v>Severe combined</x:v>
      </x:c>
      <x:c r="B17" s="173" t="b">
        <x:v>0</x:v>
      </x:c>
      <x:c r="C17" s="6" t="n">
        <x:v>0.648</x:v>
      </x:c>
      <x:c r="D17" s="6" t="n">
        <x:v>0</x:v>
      </x:c>
      <x:c r="E17" s="6" t="n">
        <x:v>6.5</x:v>
      </x:c>
    </x:row>
    <x:row r="18">
      <x:c r="A18" s="6" t="str">
        <x:v>Thirty-day run</x:v>
      </x:c>
      <x:c r="B18" s="173" t="b">
        <x:v>0</x:v>
      </x:c>
      <x:c r="C18" s="6" t="n">
        <x:v>1</x:v>
      </x:c>
      <x:c r="D18" s="6" t="n">
        <x:v>0.905</x:v>
      </x:c>
      <x:c r="E18" s="6" t="n">
        <x:v>8</x:v>
      </x:c>
    </x:row>
    <x:row r="21">
      <x:c r="A21" s="158" t="str">
        <x:v>V53.1 degraded collection physics</x:v>
      </x:c>
      <x:c r="B21" s="158"/>
      <x:c r="C21" s="158"/>
      <x:c r="D21" s="158"/>
      <x:c r="E21" s="158"/>
    </x:row>
    <x:row r="22">
      <x:c r="A22" s="171" t="str">
        <x:v>case</x:v>
      </x:c>
      <x:c r="B22" s="171" t="str">
        <x:v>return_year</x:v>
      </x:c>
      <x:c r="C22" s="171" t="str">
        <x:v>censored</x:v>
      </x:c>
      <x:c r="D22" s="171" t="str">
        <x:v>maturity_funding_scale</x:v>
      </x:c>
      <x:c r="E22" s="171" t="str">
        <x:v>peak_CO2_ppm</x:v>
      </x:c>
    </x:row>
    <x:row r="23">
      <x:c r="A23" s="6" t="str">
        <x:v>Central collection</x:v>
      </x:c>
      <x:c r="B23" s="6" t="n">
        <x:v>2155</x:v>
      </x:c>
      <x:c r="C23" s="173" t="b">
        <x:v>0</x:v>
      </x:c>
      <x:c r="D23" s="6" t="n">
        <x:v>1</x:v>
      </x:c>
      <x:c r="E23" s="6" t="n">
        <x:v>439.55</x:v>
      </x:c>
    </x:row>
    <x:row r="24">
      <x:c r="A24" s="6" t="str">
        <x:v>Lower turnover / higher leakage</x:v>
      </x:c>
      <x:c r="B24" s="6" t="n">
        <x:v>2155</x:v>
      </x:c>
      <x:c r="C24" s="173" t="b">
        <x:v>0</x:v>
      </x:c>
      <x:c r="D24" s="6" t="n">
        <x:v>1</x:v>
      </x:c>
      <x:c r="E24" s="6" t="n">
        <x:v>439.55</x:v>
      </x:c>
    </x:row>
    <x:row r="25">
      <x:c r="A25" s="6" t="str">
        <x:v>High turnover / low leakage</x:v>
      </x:c>
      <x:c r="B25" s="6" t="n">
        <x:v>2155</x:v>
      </x:c>
      <x:c r="C25" s="173" t="b">
        <x:v>0</x:v>
      </x:c>
      <x:c r="D25" s="6" t="n">
        <x:v>1</x:v>
      </x:c>
      <x:c r="E25" s="6" t="n">
        <x:v>439.55</x:v>
      </x:c>
    </x:row>
    <x:row r="26">
      <x:c r="A26" s="6" t="str">
        <x:v>Severe migration stress</x:v>
      </x:c>
      <x:c r="B26" s="6"/>
      <x:c r="C26" s="173" t="b">
        <x:v>1</x:v>
      </x:c>
      <x:c r="D26" s="6" t="n">
        <x:v>0.201</x:v>
      </x:c>
      <x:c r="E26" s="6" t="n">
        <x:v>441.46</x:v>
      </x:c>
    </x:row>
  </x:sheetData>
  <x:mergeCells>
    <x:mergeCell ref="A1:H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0" hidden="0" customWidth="1"/>
    <x:col min="3" max="3" width="24" hidden="0" customWidth="1"/>
    <x:col min="4" max="4" width="78" hidden="0" customWidth="1"/>
  </x:cols>
  <x:sheetData>
    <x:row r="1">
      <x:c r="A1" s="186" t="str">
        <x:v>HISTORICAL / SUPERSEDED — V56_Fisheries is retained for lineage only. Current results are in the V57_* sheets.</x:v>
      </x:c>
      <x:c r="B1" s="153"/>
      <x:c r="C1" s="153"/>
      <x:c r="D1" s="153"/>
      <x:c r="E1" s="153"/>
      <x:c r="F1" s="153"/>
    </x:row>
    <x:row r="3">
      <x:c r="A3" s="171" t="str">
        <x:v>Metric</x:v>
      </x:c>
      <x:c r="B3" s="171" t="str">
        <x:v>Value</x:v>
      </x:c>
      <x:c r="C3" s="171" t="str">
        <x:v>Status</x:v>
      </x:c>
      <x:c r="D3" s="171" t="str">
        <x:v>Interpretation</x:v>
      </x:c>
    </x:row>
    <x:row r="4">
      <x:c r="A4" t="str">
        <x:v>Biologically sustainable assessed stocks, 2023</x:v>
      </x:c>
      <x:c r="B4" t="n">
        <x:v>62.4</x:v>
      </x:c>
      <x:c r="C4" t="str">
        <x:v>%</x:v>
      </x:c>
      <x:c r="D4" t="str">
        <x:v>Observed external reference.</x:v>
      </x:c>
    </x:row>
    <x:row r="5">
      <x:c r="A5" t="str">
        <x:v>Landings from sustainable assessed stocks, 2023</x:v>
      </x:c>
      <x:c r="B5" t="n">
        <x:v>72.6</x:v>
      </x:c>
      <x:c r="C5" t="str">
        <x:v>%</x:v>
      </x:c>
      <x:c r="D5" t="str">
        <x:v>Observed external reference.</x:v>
      </x:c>
    </x:row>
    <x:row r="6">
      <x:c r="A6" t="str">
        <x:v>Managed-stock median recovery sensitivity</x:v>
      </x:c>
      <x:c r="B6" t="n">
        <x:v>10</x:v>
      </x:c>
      <x:c r="C6" t="str">
        <x:v>years</x:v>
      </x:c>
      <x:c r="D6" t="str">
        <x:v>Literature screen; not every stock.</x:v>
      </x:c>
    </x:row>
    <x:row r="7">
      <x:c r="A7" t="str">
        <x:v>Modeled fisheries in global reform study</x:v>
      </x:c>
      <x:c r="B7" t="n">
        <x:v>4713</x:v>
      </x:c>
      <x:c r="C7" t="str">
        <x:v>fisheries</x:v>
      </x:c>
      <x:c r="D7" t="str">
        <x:v>External bioeconomic study basis.</x:v>
      </x:c>
    </x:row>
    <x:row r="8">
      <x:c r="A8" t="str">
        <x:v>Modeled healthy fraction by 2050</x:v>
      </x:c>
      <x:c r="B8" t="n">
        <x:v>98</x:v>
      </x:c>
      <x:c r="C8" t="str">
        <x:v>%</x:v>
      </x:c>
      <x:c r="D8" t="str">
        <x:v>Literature scenario under effective management reform.</x:v>
      </x:c>
    </x:row>
    <x:row r="9">
      <x:c r="A9" t="str">
        <x:v>Seaweed co-culture counted as wild-stock recovery</x:v>
      </x:c>
      <x:c r="B9" t="str">
        <x:v>NO</x:v>
      </x:c>
      <x:c r="C9" t="str">
        <x:v>accounting rule</x:v>
      </x:c>
      <x:c r="D9" t="str">
        <x:v>Cultured biomass and habitat co-benefits remain separate from wild fish recovery.</x:v>
      </x:c>
    </x:row>
    <x:row r="10">
      <x:c r="A10" t="str">
        <x:v>Global ecosystem recovery year</x:v>
      </x:c>
      <x:c r="B10" t="str">
        <x:v>NONE</x:v>
      </x:c>
      <x:c r="C10" t="str">
        <x:v>publication rule</x:v>
      </x:c>
      <x:c r="D10" t="str">
        <x:v>No stock-by-stock global fish forecast exists in V56.</x:v>
      </x:c>
    </x:row>
    <x:row r="12">
      <x:c r="A12" s="171" t="str">
        <x:v>Context</x:v>
      </x:c>
      <x:c r="B12" s="171" t="str">
        <x:v>Value</x:v>
      </x:c>
      <x:c r="C12" s="171" t="str">
        <x:v>Unit</x:v>
      </x:c>
      <x:c r="D12" s="171" t="str">
        <x:v>Use</x:v>
      </x:c>
    </x:row>
    <x:row r="13">
      <x:c r="A13" t="str">
        <x:v>Marine reserve age signal</x:v>
      </x:c>
      <x:c r="B13" t="n">
        <x:v>15</x:v>
      </x:c>
      <x:c r="C13" t="str">
        <x:v>years</x:v>
      </x:c>
      <x:c r="D13" t="str">
        <x:v>Evidence context for increasing fish density/biomass in long-established reserves.</x:v>
      </x:c>
    </x:row>
    <x:row r="14">
      <x:c r="A14" t="str">
        <x:v>Reef-fish recovery context</x:v>
      </x:c>
      <x:c r="B14" t="n">
        <x:v>35</x:v>
      </x:c>
      <x:c r="C14" t="str">
        <x:v>years</x:v>
      </x:c>
      <x:c r="D14" t="str">
        <x:v>Shows some ecosystem recovery is much slower than the 10-year managed-stock median.</x:v>
      </x:c>
    </x:row>
  </x:sheetData>
  <x:mergeCells>
    <x:mergeCell ref="A1:F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86" t="str">
        <x:v>HISTORICAL / SUPERSEDED — V56_Human_Systems is retained for lineage only. Current results are in the V57_* sheets.</x:v>
      </x:c>
      <x:c r="B1" s="153"/>
      <x:c r="C1" s="153"/>
      <x:c r="D1" s="153"/>
      <x:c r="E1" s="153"/>
      <x:c r="F1" s="153"/>
      <x:c r="G1" s="153"/>
      <x:c r="H1" s="153"/>
    </x:row>
    <x:row r="3">
      <x:c r="A3" s="158" t="str">
        <x:v>Human_Welfare_Floor — RESTORED_SCREEN_UPDATED_V56</x:v>
      </x:c>
      <x:c r="B3" s="158" t="str">
        <x:v>Human_Welfare_Floor — RESTORED_SCREEN_UPDATED_V56</x:v>
      </x:c>
      <x:c r="C3" s="158" t="str">
        <x:v>Human_Welfare_Floor — RESTORED_SCREEN_UPDATED_V56</x:v>
      </x:c>
      <x:c r="D3" s="158" t="str">
        <x:v>Human_Welfare_Floor — RESTORED_SCREEN_UPDATED_V56</x:v>
      </x:c>
      <x:c r="E3" s="158" t="str">
        <x:v>Human_Welfare_Floor — RESTORED_SCREEN_UPDATED_V56</x:v>
      </x:c>
      <x:c r="F3" s="158" t="str">
        <x:v>Human_Welfare_Floor — RESTORED_SCREEN_UPDATED_V56</x:v>
      </x:c>
    </x:row>
    <x:row r="4">
      <x:c r="A4" s="171" t="str">
        <x:v>constraint</x:v>
      </x:c>
      <x:c r="B4" s="171" t="str">
        <x:v>unit</x:v>
      </x:c>
      <x:c r="C4" s="171" t="str">
        <x:v>legacy_minimum</x:v>
      </x:c>
      <x:c r="D4" s="171" t="str">
        <x:v>v56_central_consumption_screen</x:v>
      </x:c>
      <x:c r="E4" s="171" t="str">
        <x:v>coverage_target</x:v>
      </x:c>
      <x:c r="F4" s="171" t="str">
        <x:v>caution</x:v>
      </x:c>
      <x:c r="G4" s="171" t="str">
        <x:v>minimum</x:v>
      </x:c>
      <x:c r="H4" s="171" t="str">
        <x:v>legacy_central</x:v>
      </x:c>
    </x:row>
    <x:row r="5">
      <x:c r="A5" s="6" t="str">
        <x:v>Dietary energy</x:v>
      </x:c>
      <x:c r="B5" s="6" t="str">
        <x:v>kcal/person/day</x:v>
      </x:c>
      <x:c r="C5" s="6" t="n">
        <x:v>2300</x:v>
      </x:c>
      <x:c r="D5" s="6" t="n">
        <x:v>2350</x:v>
      </x:c>
      <x:c r="E5" s="6" t="n">
        <x:v>0.99</x:v>
      </x:c>
      <x:c r="F5" s="6" t="str">
        <x:v>Calories alone do not prove micronutrient adequacy.</x:v>
      </x:c>
      <x:c r="G5" s="6"/>
      <x:c r="H5" s="6"/>
    </x:row>
    <x:row r="6">
      <x:c r="A6" s="6" t="str">
        <x:v>Protein</x:v>
      </x:c>
      <x:c r="B6" s="6" t="str">
        <x:v>g/person/day</x:v>
      </x:c>
      <x:c r="C6" s="6"/>
      <x:c r="D6" s="6"/>
      <x:c r="E6" s="6" t="n">
        <x:v>0.99</x:v>
      </x:c>
      <x:c r="F6" s="6" t="str">
        <x:v>Age/sex distributions require disaggregation.</x:v>
      </x:c>
      <x:c r="G6" s="6" t="n">
        <x:v>50</x:v>
      </x:c>
      <x:c r="H6" s="6" t="n">
        <x:v>65</x:v>
      </x:c>
    </x:row>
    <x:row r="7">
      <x:c r="A7" s="6" t="str">
        <x:v>Safe municipal water</x:v>
      </x:c>
      <x:c r="B7" s="6" t="str">
        <x:v>L/person/day</x:v>
      </x:c>
      <x:c r="C7" s="6"/>
      <x:c r="D7" s="6"/>
      <x:c r="E7" s="6" t="n">
        <x:v>0.99</x:v>
      </x:c>
      <x:c r="F7" s="6" t="str">
        <x:v>Regional climate and availability vary.</x:v>
      </x:c>
      <x:c r="G7" s="6" t="n">
        <x:v>50</x:v>
      </x:c>
      <x:c r="H7" s="6" t="n">
        <x:v>100</x:v>
      </x:c>
    </x:row>
    <x:row r="9">
      <x:c r="A9" s="158" t="str">
        <x:v>Demographics — RESTORED_SCENARIO</x:v>
      </x:c>
      <x:c r="B9" s="158" t="str">
        <x:v>Demographics — RESTORED_SCENARIO</x:v>
      </x:c>
      <x:c r="C9" s="158" t="str">
        <x:v>Demographics — RESTORED_SCENARIO</x:v>
      </x:c>
      <x:c r="D9" s="158" t="str">
        <x:v>Demographics — RESTORED_SCENARIO</x:v>
      </x:c>
      <x:c r="E9" s="158" t="str">
        <x:v>Demographics — RESTORED_SCENARIO</x:v>
      </x:c>
      <x:c r="F9" s="158" t="str">
        <x:v>Demographics — RESTORED_SCENARIO</x:v>
      </x:c>
    </x:row>
    <x:row r="10">
      <x:c r="A10" s="171" t="str">
        <x:v>metric</x:v>
      </x:c>
      <x:c r="B10" s="171" t="str">
        <x:v>value</x:v>
      </x:c>
    </x:row>
    <x:row r="11">
      <x:c r="A11" s="6" t="str">
        <x:v>population_billion</x:v>
      </x:c>
      <x:c r="B11" s="6" t="str">
        <x:v>{"reference": 8.2, "planning": 10.3, "low": 9.5, "legacy_high": 12.55}</x:v>
      </x:c>
    </x:row>
    <x:row r="12">
      <x:c r="A12" s="6" t="str">
        <x:v>life_expectancy_years</x:v>
      </x:c>
      <x:c r="B12" s="6" t="str">
        <x:v>{"reference": 73, "planning_target": 82, "low": 78, "high": 85}</x:v>
      </x:c>
    </x:row>
    <x:row r="13">
      <x:c r="A13" s="6" t="str">
        <x:v>total_fertility_rate</x:v>
      </x:c>
      <x:c r="B13" s="6" t="str">
        <x:v>{"reference": 2.25, "planning": 2.1, "low": 1.75, "high": 2.25}</x:v>
      </x:c>
    </x:row>
    <x:row r="14">
      <x:c r="A14" s="6" t="str">
        <x:v>planning_infrastructure_at_10p3b</x:v>
      </x:c>
      <x:c r="B14" s="6" t="str">
        <x:v>{"doctors_million": 30.9, "hospital_beds_million": 30.9, "teachers_million": 103.0, "housing_floor_area_billion_m2": 309.0, "reliable_electricity_twh_yr": 66950.0}</x:v>
      </x:c>
    </x:row>
    <x:row r="16">
      <x:c r="A16" s="158" t="str">
        <x:v>Global_Economics — RESTORED_SCENARIO</x:v>
      </x:c>
      <x:c r="B16" s="158" t="str">
        <x:v>Global_Economics — RESTORED_SCENARIO</x:v>
      </x:c>
      <x:c r="C16" s="158" t="str">
        <x:v>Global_Economics — RESTORED_SCENARIO</x:v>
      </x:c>
      <x:c r="D16" s="158" t="str">
        <x:v>Global_Economics — RESTORED_SCENARIO</x:v>
      </x:c>
      <x:c r="E16" s="158" t="str">
        <x:v>Global_Economics — RESTORED_SCENARIO</x:v>
      </x:c>
      <x:c r="F16" s="158" t="str">
        <x:v>Global_Economics — RESTORED_SCENARIO</x:v>
      </x:c>
    </x:row>
    <x:row r="17">
      <x:c r="A17" s="171" t="str">
        <x:v>metric</x:v>
      </x:c>
      <x:c r="B17" s="171" t="str">
        <x:v>value</x:v>
      </x:c>
    </x:row>
    <x:row r="18">
      <x:c r="A18" s="6" t="str">
        <x:v>population_billion</x:v>
      </x:c>
      <x:c r="B18" s="6" t="str">
        <x:v>{"low": 9.5, "central": 10.3, "high": 12.55}</x:v>
      </x:c>
    </x:row>
    <x:row r="19">
      <x:c r="A19" s="6" t="str">
        <x:v>real_gdp_usd_person_yr</x:v>
      </x:c>
      <x:c r="B19" s="6" t="str">
        <x:v>{"low": 22000, "central": 30000, "high": 40000}</x:v>
      </x:c>
    </x:row>
    <x:row r="20">
      <x:c r="A20" s="6" t="str">
        <x:v>welfare_basic_services_usd_person_yr</x:v>
      </x:c>
      <x:c r="B20" s="6" t="str">
        <x:v>{"low": 11000, "central": 13000, "high": 16000}</x:v>
      </x:c>
    </x:row>
    <x:row r="22">
      <x:c r="A22" s="158" t="str">
        <x:v>Industry_Materials — RESTORED_SCREEN</x:v>
      </x:c>
      <x:c r="B22" s="158" t="str">
        <x:v>Industry_Materials — RESTORED_SCREEN</x:v>
      </x:c>
      <x:c r="C22" s="158" t="str">
        <x:v>Industry_Materials — RESTORED_SCREEN</x:v>
      </x:c>
      <x:c r="D22" s="158" t="str">
        <x:v>Industry_Materials — RESTORED_SCREEN</x:v>
      </x:c>
      <x:c r="E22" s="158" t="str">
        <x:v>Industry_Materials — RESTORED_SCREEN</x:v>
      </x:c>
      <x:c r="F22" s="158" t="str">
        <x:v>Industry_Materials — RESTORED_SCREEN</x:v>
      </x:c>
    </x:row>
    <x:row r="23">
      <x:c r="A23" s="171" t="str">
        <x:v>material</x:v>
      </x:c>
      <x:c r="B23" s="171" t="str">
        <x:v>demand_kg_person_yr</x:v>
      </x:c>
      <x:c r="C23" s="171" t="str">
        <x:v>recycled_share</x:v>
      </x:c>
      <x:c r="D23" s="171" t="str">
        <x:v>virgin_kg_person_yr</x:v>
      </x:c>
      <x:c r="E23" s="171" t="str">
        <x:v>global_demand_mt_yr_at_10p3b</x:v>
      </x:c>
      <x:c r="F23" s="171" t="str">
        <x:v>virgin_demand_mt_yr</x:v>
      </x:c>
      <x:c r="G23" s="171" t="str">
        <x:v>low_carbon_share</x:v>
      </x:c>
      <x:c r="H23" s="171" t="str">
        <x:v>economic_cost_usd_t</x:v>
      </x:c>
    </x:row>
    <x:row r="24">
      <x:c r="A24" s="6" t="str">
        <x:v>Steel</x:v>
      </x:c>
      <x:c r="B24" s="6" t="n">
        <x:v>250</x:v>
      </x:c>
      <x:c r="C24" s="6" t="n">
        <x:v>0.7</x:v>
      </x:c>
      <x:c r="D24" s="6" t="n">
        <x:v>75</x:v>
      </x:c>
      <x:c r="E24" s="6" t="n">
        <x:v>2575</x:v>
      </x:c>
      <x:c r="F24" s="6" t="n">
        <x:v>772.5</x:v>
      </x:c>
      <x:c r="G24" s="6" t="n">
        <x:v>0.95</x:v>
      </x:c>
      <x:c r="H24" s="6" t="n">
        <x:v>850</x:v>
      </x:c>
    </x:row>
    <x:row r="25">
      <x:c r="A25" s="6" t="str">
        <x:v>Cement/concrete binder</x:v>
      </x:c>
      <x:c r="B25" s="6" t="n">
        <x:v>300</x:v>
      </x:c>
      <x:c r="C25" s="6" t="n">
        <x:v>0.35</x:v>
      </x:c>
      <x:c r="D25" s="6" t="n">
        <x:v>195</x:v>
      </x:c>
      <x:c r="E25" s="6" t="n">
        <x:v>3090</x:v>
      </x:c>
      <x:c r="F25" s="6" t="n">
        <x:v>2008.5</x:v>
      </x:c>
      <x:c r="G25" s="6" t="n">
        <x:v>0.95</x:v>
      </x:c>
      <x:c r="H25" s="6" t="n">
        <x:v>140</x:v>
      </x:c>
    </x:row>
    <x:row r="26">
      <x:c r="A26" s="6" t="str">
        <x:v>Aluminium</x:v>
      </x:c>
      <x:c r="B26" s="6" t="n">
        <x:v>30</x:v>
      </x:c>
      <x:c r="C26" s="6" t="n">
        <x:v>0.7</x:v>
      </x:c>
      <x:c r="D26" s="6" t="n">
        <x:v>9</x:v>
      </x:c>
      <x:c r="E26" s="6" t="n">
        <x:v>309</x:v>
      </x:c>
      <x:c r="F26" s="6" t="n">
        <x:v>92.7</x:v>
      </x:c>
      <x:c r="G26" s="6" t="n">
        <x:v>0.95</x:v>
      </x:c>
      <x:c r="H26" s="6" t="n">
        <x:v>2500</x:v>
      </x:c>
    </x:row>
    <x:row r="28">
      <x:c r="A28" s="158" t="str">
        <x:v>Monetary_System_Risks — RESTORED_REQUIRED_FUNCTIONS</x:v>
      </x:c>
      <x:c r="B28" s="158" t="str">
        <x:v>Monetary_System_Risks — RESTORED_REQUIRED_FUNCTIONS</x:v>
      </x:c>
      <x:c r="C28" s="158" t="str">
        <x:v>Monetary_System_Risks — RESTORED_REQUIRED_FUNCTIONS</x:v>
      </x:c>
      <x:c r="D28" s="158" t="str">
        <x:v>Monetary_System_Risks — RESTORED_REQUIRED_FUNCTIONS</x:v>
      </x:c>
      <x:c r="E28" s="158" t="str">
        <x:v>Monetary_System_Risks — RESTORED_REQUIRED_FUNCTIONS</x:v>
      </x:c>
      <x:c r="F28" s="158" t="str">
        <x:v>Monetary_System_Risks — RESTORED_REQUIRED_FUNCTIONS</x:v>
      </x:c>
    </x:row>
    <x:row r="29">
      <x:c r="A29" s="171" t="str">
        <x:v>function</x:v>
      </x:c>
      <x:c r="B29" s="171" t="str">
        <x:v>blockchain_replacement</x:v>
      </x:c>
      <x:c r="C29" s="171" t="str">
        <x:v>institution_still_required</x:v>
      </x:c>
      <x:c r="D29" s="171" t="str">
        <x:v>safeguard</x:v>
      </x:c>
    </x:row>
    <x:row r="30">
      <x:c r="A30" s="6" t="str">
        <x:v>Payments/settlement</x:v>
      </x:c>
      <x:c r="B30" s="6" t="str">
        <x:v>YES</x:v>
      </x:c>
      <x:c r="C30" s="6" t="str">
        <x:v>YES</x:v>
      </x:c>
      <x:c r="D30" s="6" t="str">
        <x:v>Redundant global nodes + offline recovery</x:v>
      </x:c>
    </x:row>
    <x:row r="31">
      <x:c r="A31" s="6" t="str">
        <x:v>Credit underwriting/lending</x:v>
      </x:c>
      <x:c r="B31" s="6" t="str">
        <x:v>PARTLY</x:v>
      </x:c>
      <x:c r="C31" s="6" t="str">
        <x:v>YES</x:v>
      </x:c>
      <x:c r="D31" s="6" t="str">
        <x:v>Capital rules + competitive credit markets</x:v>
      </x:c>
    </x:row>
    <x:row r="32">
      <x:c r="A32" s="6" t="str">
        <x:v>Deposit/liquidity insurance</x:v>
      </x:c>
      <x:c r="B32" s="6" t="str">
        <x:v>PARTLY</x:v>
      </x:c>
      <x:c r="C32" s="6" t="str">
        <x:v>YES</x:v>
      </x:c>
      <x:c r="D32" s="6" t="str">
        <x:v>Ring-fenced reserve + emergency liquidity governance</x:v>
      </x:c>
    </x:row>
    <x:row r="33">
      <x:c r="A33" s="6" t="str">
        <x:v>AML/KYC/fraud/cybersecurity</x:v>
      </x:c>
      <x:c r="B33" s="6" t="str">
        <x:v>PARTLY</x:v>
      </x:c>
      <x:c r="C33" s="6" t="str">
        <x:v>YES</x:v>
      </x:c>
      <x:c r="D33" s="6" t="str">
        <x:v>Financial-integrity and cybersecurity governance</x:v>
      </x:c>
    </x:row>
    <x:row r="35">
      <x:c r="A35" s="158" t="str">
        <x:v>Diet_Carbon_v19 — RESTORED_HISTORICAL_SCREEN_CLIMATE_DATES_SUPERSEDED</x:v>
      </x:c>
      <x:c r="B35" s="158" t="str">
        <x:v>Diet_Carbon_v19 — RESTORED_HISTORICAL_SCREEN_CLIMATE_DATES_SUPERSEDED</x:v>
      </x:c>
      <x:c r="C35" s="158" t="str">
        <x:v>Diet_Carbon_v19 — RESTORED_HISTORICAL_SCREEN_CLIMATE_DATES_SUPERSEDED</x:v>
      </x:c>
      <x:c r="D35" s="158" t="str">
        <x:v>Diet_Carbon_v19 — RESTORED_HISTORICAL_SCREEN_CLIMATE_DATES_SUPERSEDED</x:v>
      </x:c>
      <x:c r="E35" s="158" t="str">
        <x:v>Diet_Carbon_v19 — RESTORED_HISTORICAL_SCREEN_CLIMATE_DATES_SUPERSEDED</x:v>
      </x:c>
      <x:c r="F35" s="158" t="str">
        <x:v>Diet_Carbon_v19 — RESTORED_HISTORICAL_SCREEN_CLIMATE_DATES_SUPERSEDED</x:v>
      </x:c>
    </x:row>
    <x:row r="36">
      <x:c r="A36" s="171" t="str">
        <x:v>diet</x:v>
      </x:c>
      <x:c r="B36" s="171" t="str">
        <x:v>population_capacity_billion_legacy</x:v>
      </x:c>
      <x:c r="C36" s="171" t="str">
        <x:v>diet_enabled_restoration_stock_gtco2_legacy</x:v>
      </x:c>
      <x:c r="D36" s="171" t="str">
        <x:v>status</x:v>
      </x:c>
    </x:row>
    <x:row r="37">
      <x:c r="A37" s="6" t="str">
        <x:v>Optimized omnivore</x:v>
      </x:c>
      <x:c r="B37" s="6" t="n">
        <x:v>11.24</x:v>
      </x:c>
      <x:c r="C37" s="6" t="n">
        <x:v>0</x:v>
      </x:c>
      <x:c r="D37" s="6" t="str">
        <x:v>HISTORICAL_SCENARIO</x:v>
      </x:c>
    </x:row>
    <x:row r="38">
      <x:c r="A38" s="6" t="str">
        <x:v>EAT-Lancet-like</x:v>
      </x:c>
      <x:c r="B38" s="6" t="n">
        <x:v>11.8</x:v>
      </x:c>
      <x:c r="C38" s="6" t="n">
        <x:v>166</x:v>
      </x:c>
      <x:c r="D38" s="6" t="str">
        <x:v>HISTORICAL_SCENARIO</x:v>
      </x:c>
    </x:row>
    <x:row r="39">
      <x:c r="A39" s="6" t="str">
        <x:v>Vegetarian + dairy/eggs + aquatic</x:v>
      </x:c>
      <x:c r="B39" s="6" t="n">
        <x:v>12.55</x:v>
      </x:c>
      <x:c r="C39" s="6" t="n">
        <x:v>220</x:v>
      </x:c>
      <x:c r="D39" s="6" t="str">
        <x:v>HISTORICAL_SCENARIO</x:v>
      </x:c>
    </x:row>
  </x:sheetData>
  <x:mergeCells>
    <x:mergeCell ref="A1:H1"/>
    <x:mergeCell ref="A3:F3"/>
    <x:mergeCell ref="A9:F9"/>
    <x:mergeCell ref="A16:F16"/>
    <x:mergeCell ref="A22:F22"/>
    <x:mergeCell ref="A28:F28"/>
    <x:mergeCell ref="A35:F35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2" hidden="0" customWidth="1"/>
    <x:col min="3" max="3" width="6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86" t="str">
        <x:v>HISTORICAL / SUPERSEDED — V56_Population_Context is retained for lineage only. Current results are in the V57_* sheets.</x:v>
      </x:c>
      <x:c r="B1" s="153"/>
      <x:c r="C1" s="153"/>
      <x:c r="D1" s="153"/>
      <x:c r="E1" s="153"/>
      <x:c r="F1" s="153"/>
    </x:row>
    <x:row r="3">
      <x:c r="A3" s="168" t="str">
        <x:v>V56 does not assert one immutable maximum human population on Earth.</x:v>
      </x:c>
      <x:c r="B3" s="168"/>
      <x:c r="C3" s="168"/>
      <x:c r="D3" s="168"/>
      <x:c r="E3" s="168"/>
      <x:c r="F3" s="168"/>
    </x:row>
    <x:row r="5">
      <x:c r="A5" s="171" t="str">
        <x:v>case</x:v>
      </x:c>
      <x:c r="B5" s="171" t="str">
        <x:v>population_billion</x:v>
      </x:c>
      <x:c r="C5" s="171" t="str">
        <x:v>meaning</x:v>
      </x:c>
    </x:row>
    <x:row r="6">
      <x:c r="A6" s="6" t="str">
        <x:v>UN WPP planning peak</x:v>
      </x:c>
      <x:c r="B6" s="6" t="n">
        <x:v>10.3</x:v>
      </x:c>
      <x:c r="C6" s="6" t="str">
        <x:v>Demographic planning reference, not carrying capacity.</x:v>
      </x:c>
    </x:row>
    <x:row r="7">
      <x:c r="A7" s="6" t="str">
        <x:v>Gerten transformed terrestrial food-system context</x:v>
      </x:c>
      <x:c r="B7" s="6" t="n">
        <x:v>10.2</x:v>
      </x:c>
      <x:c r="C7" s="6" t="str">
        <x:v>Literature context within four assessed terrestrial planetary boundaries after major transformation.</x:v>
      </x:c>
    </x:row>
    <x:row r="8">
      <x:c r="A8" s="6" t="str">
        <x:v>Legacy v12 vegetarian+fish Monte Carlo median</x:v>
      </x:c>
      <x:c r="B8" s="6" t="n">
        <x:v>12.2</x:v>
      </x:c>
      <x:c r="C8" s="6" t="str">
        <x:v>Historical model scenario; not empirical Earth capacity.</x:v>
      </x:c>
    </x:row>
    <x:row r="9">
      <x:c r="A9" s="6" t="str">
        <x:v>Legacy optimized omnivore</x:v>
      </x:c>
      <x:c r="B9" s="6" t="n">
        <x:v>11.24</x:v>
      </x:c>
      <x:c r="C9" s="6" t="str">
        <x:v>Historical model scenario.</x:v>
      </x:c>
    </x:row>
    <x:row r="10">
      <x:c r="A10" s="6" t="str">
        <x:v>Legacy vegetarian/aquatic high case</x:v>
      </x:c>
      <x:c r="B10" s="6" t="n">
        <x:v>12.55</x:v>
      </x:c>
      <x:c r="C10" s="6" t="str">
        <x:v>Historical model scenario.</x:v>
      </x:c>
    </x:row>
    <x:row r="11">
      <x:c r="A11" s="6" t="str">
        <x:v>Legacy plant-based upper screen</x:v>
      </x:c>
      <x:c r="B11" s="6" t="n">
        <x:v>13</x:v>
      </x:c>
      <x:c r="C11" s="6" t="str">
        <x:v>Historical upper scenario.</x:v>
      </x:c>
    </x:row>
    <x:row r="12">
      <x:c r="A12" s="6" t="str">
        <x:v>Legacy energy-only screen</x:v>
      </x:c>
      <x:c r="B12" s="6" t="n">
        <x:v>14.7</x:v>
      </x:c>
      <x:c r="C12" s="6" t="str">
        <x:v>Annual energy balance only; not integrated carrying capacity.</x:v>
      </x:c>
    </x:row>
    <x:row r="15">
      <x:c r="A15" s="171" t="str">
        <x:v>Interpretation rule</x:v>
      </x:c>
      <x:c r="B15" s="171" t="str">
        <x:v>V56 treatment</x:v>
      </x:c>
      <x:c r="C15" s="171" t="str">
        <x:v>Why</x:v>
      </x:c>
      <x:c r="D15" s="171" t="str">
        <x:v>Precision</x:v>
      </x:c>
    </x:row>
    <x:row r="16">
      <x:c r="A16" t="str">
        <x:v>10.2B transformed food-system literature context</x:v>
      </x:c>
      <x:c r="B16" t="str">
        <x:v>REFERENCE</x:v>
      </x:c>
      <x:c r="C16" t="str">
        <x:v>Not produced by V56 seaweed module</x:v>
      </x:c>
      <x:c r="D16" t="str">
        <x:v>~10.2B</x:v>
      </x:c>
    </x:row>
    <x:row r="17">
      <x:c r="A17" t="str">
        <x:v>11.24–13.0B legacy diet cases</x:v>
      </x:c>
      <x:c r="B17" t="str">
        <x:v>HISTORICAL SCENARIOS</x:v>
      </x:c>
      <x:c r="C17" t="str">
        <x:v>Useful for comparison; not empirical carrying capacity</x:v>
      </x:c>
      <x:c r="D17" t="str">
        <x:v>two significant figures</x:v>
      </x:c>
    </x:row>
    <x:row r="18">
      <x:c r="A18" t="str">
        <x:v>14.7B energy-only</x:v>
      </x:c>
      <x:c r="B18" t="str">
        <x:v>SCREEN ONLY</x:v>
      </x:c>
      <x:c r="C18" t="str">
        <x:v>Annual energy balance ignores many ecological/material/regional constraints</x:v>
      </x:c>
      <x:c r="D18" t="str">
        <x:v>~14.7B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78" hidden="0" customWidth="1"/>
    <x:col min="3" max="3" width="22" hidden="0" customWidth="1"/>
  </x:cols>
  <x:sheetData>
    <x:row r="1">
      <x:c r="A1" s="186" t="str">
        <x:v>HISTORICAL / SUPERSEDED — V56_Audit_Fixes is retained for lineage only. Current results are in the V57_* sheets.</x:v>
      </x:c>
      <x:c r="B1" s="153"/>
      <x:c r="C1" s="153"/>
      <x:c r="D1" s="153"/>
      <x:c r="E1" s="153"/>
      <x:c r="F1" s="153"/>
    </x:row>
    <x:row r="3">
      <x:c r="A3" s="171" t="str">
        <x:v>Issue from V55 audit</x:v>
      </x:c>
      <x:c r="B3" s="171" t="str">
        <x:v>V56 resolution</x:v>
      </x:c>
      <x:c r="C3" s="171" t="str">
        <x:v>Status</x:v>
      </x:c>
    </x:row>
    <x:row r="4">
      <x:c r="A4" s="6" t="str">
        <x:v>Archived FaIR/Hector results hidden</x:v>
      </x:c>
      <x:c r="B4" s="6" t="str">
        <x:v>Read directly into V56 JSON/workbook/dashboard</x:v>
      </x:c>
      <x:c r="C4" s="6" t="str">
        <x:v>FIXED</x:v>
      </x:c>
    </x:row>
    <x:row r="5">
      <x:c r="A5" s="6" t="str">
        <x:v>Joos 2155 presented too prominently</x:v>
      </x:c>
      <x:c r="B5" s="6" t="str">
        <x:v>Joos diagnostic only; external non-return is headline</x:v>
      </x:c>
      <x:c r="C5" s="6" t="str">
        <x:v>FIXED</x:v>
      </x:c>
    </x:row>
    <x:row r="6">
      <x:c r="A6" s="6" t="str">
        <x:v>Seven V53.1 blocks dropped</x:v>
      </x:c>
      <x:c r="B6" s="6" t="str">
        <x:v>Full V53.1 object retained and adverse blocks separately exported</x:v>
      </x:c>
      <x:c r="C6" s="6" t="str">
        <x:v>FIXED</x:v>
      </x:c>
    </x:row>
    <x:row r="7">
      <x:c r="A7" s="6" t="str">
        <x:v>Grid 4/4 failures omitted</x:v>
      </x:c>
      <x:c r="B7" s="6" t="str">
        <x:v>Restored to headline/workbook</x:v>
      </x:c>
      <x:c r="C7" s="6" t="str">
        <x:v>FIXED</x:v>
      </x:c>
    </x:row>
    <x:row r="8">
      <x:c r="A8" s="6" t="str">
        <x:v>Liquidity 3/6 failures omitted</x:v>
      </x:c>
      <x:c r="B8" s="6" t="str">
        <x:v>Restored to headline/workbook</x:v>
      </x:c>
      <x:c r="C8" s="6" t="str">
        <x:v>FIXED</x:v>
      </x:c>
    </x:row>
    <x:row r="9">
      <x:c r="A9" s="6" t="str">
        <x:v>Seaweed nutrient closure not propagated</x:v>
      </x:c>
      <x:c r="B9" s="6" t="str">
        <x:v>0.253 Gt/yr nutrient-closed case is primary</x:v>
      </x:c>
      <x:c r="C9" s="6" t="str">
        <x:v>FIXED</x:v>
      </x:c>
    </x:row>
    <x:row r="10">
      <x:c r="A10" s="6" t="str">
        <x:v>Seaweed ash absent</x:v>
      </x:c>
      <x:c r="B10" s="6" t="str">
        <x:v>20/25/35% ash sensitivity; fuel yield on ash-free dry matter</x:v>
      </x:c>
      <x:c r="C10" s="6" t="str">
        <x:v>FIXED</x:v>
      </x:c>
    </x:row>
    <x:row r="11">
      <x:c r="A11" s="6" t="str">
        <x:v>2,000 kcal/kg treated as usable food energy</x:v>
      </x:c>
      <x:c r="B11" s="6" t="str">
        <x:v>Demoted to gross upper; protein-only 280 kcal/kg floor reported</x:v>
      </x:c>
      <x:c r="C11" s="6" t="str">
        <x:v>FIXED</x:v>
      </x:c>
    </x:row>
    <x:row r="12">
      <x:c r="A12" s="6" t="str">
        <x:v>Fisheries phantom guard</x:v>
      </x:c>
      <x:c r="B12" s="6" t="str">
        <x:v>Restored explicit literature-bounded fisheries module</x:v>
      </x:c>
      <x:c r="C12" s="6" t="str">
        <x:v>FIXED</x:v>
      </x:c>
    </x:row>
    <x:row r="13">
      <x:c r="A13" s="6" t="str">
        <x:v>Human/welfare/economic/material risk screens missing</x:v>
      </x:c>
      <x:c r="B13" s="6" t="str">
        <x:v>Restored as scenario/history screens</x:v>
      </x:c>
      <x:c r="C13" s="6" t="str">
        <x:v>FIXED</x:v>
      </x:c>
    </x:row>
    <x:row r="14">
      <x:c r="A14" s="6" t="str">
        <x:v>Trajectory post-2183 extension undocumented in V55</x:v>
      </x:c>
      <x:c r="B14" s="6" t="str">
        <x:v>Benchmark extension note included and surfaced</x:v>
      </x:c>
      <x:c r="C14" s="6" t="str">
        <x:v>FIXED</x:v>
      </x:c>
    </x:row>
    <x:row r="15">
      <x:c r="A15" s="6" t="str">
        <x:v>OSCAR silently displaced by Hector risk</x:v>
      </x:c>
      <x:c r="B15" s="6" t="str">
        <x:v>Hector explicitly labeled non-OSCAR; OSCAR gate remains OPEN</x:v>
      </x:c>
      <x:c r="C15" s="6" t="str">
        <x:v>OPEN</x:v>
      </x:c>
    </x:row>
    <x:row r="16">
      <x:c r="A16" s="6" t="str">
        <x:v>Carbon-core divergence</x:v>
      </x:c>
      <x:c r="B16" s="6" t="str">
        <x:v>Not papered over; release marked not submission-ready</x:v>
      </x:c>
      <x:c r="C16" s="6" t="str">
        <x:v>OPEN / BLOCKING</x:v>
      </x:c>
    </x:row>
  </x:sheetData>
  <x:mergeCells>
    <x:mergeCell ref="A1:F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31" hidden="0" customWidth="1"/>
    <x:col min="4" max="4" width="66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190" t="str">
        <x:v>V57 carbon-cycle attribution study</x:v>
      </x:c>
      <x:c r="B1" s="190"/>
      <x:c r="C1" s="190"/>
      <x:c r="D1" s="190"/>
      <x:c r="E1" s="190"/>
      <x:c r="F1" s="190"/>
      <x:c r="G1" s="190"/>
      <x:c r="H1" s="190"/>
    </x:row>
    <x:row r="3">
      <x:c r="A3" s="215" t="str">
        <x:v>Under the archived removal pathway, state-dependent carbon-sink response becomes a binding physical constraint: FaIR and Hector do not reproduce the internal 280-ppm return, and the divergence grows after deep drawdown rather than behaving as a constant concentration bias.</x:v>
      </x:c>
      <x:c r="B3" s="215"/>
      <x:c r="C3" s="215"/>
      <x:c r="D3" s="215"/>
      <x:c r="E3" s="215"/>
      <x:c r="F3" s="215"/>
      <x:c r="G3" s="215"/>
      <x:c r="H3" s="215"/>
    </x:row>
    <x:row r="5">
      <x:c r="A5" s="201" t="str">
        <x:v>Question</x:v>
      </x:c>
      <x:c r="B5" s="201" t="str">
        <x:v>V57 status</x:v>
      </x:c>
      <x:c r="C5" s="201" t="str">
        <x:v>Quantitative result</x:v>
      </x:c>
      <x:c r="D5" s="201" t="str">
        <x:v>Interpretation</x:v>
      </x:c>
    </x:row>
    <x:row r="6">
      <x:c r="A6" s="6" t="str">
        <x:v>Common-state / time alignment</x:v>
      </x:c>
      <x:c r="B6" s="6" t="str">
        <x:v>CLOSED_AS_DIAGNOSTIC_NOT_OFFICIAL_FAIR_RESTART</x:v>
      </x:c>
      <x:c r="C6" s="6" t="str">
        <x:v>35.9 ppm response-only gap</x:v>
      </x:c>
      <x:c r="D6" s="6" t="str">
        <x:v>Initial-state bias does not explain the deep-drawdown divergence.</x:v>
      </x:c>
    </x:row>
    <x:row r="7">
      <x:c r="A7" s="6" t="str">
        <x:v>No post-2183 extension</x:v>
      </x:c>
      <x:c r="B7" s="6" t="str">
        <x:v>CLOSED_CAUSALLY_FROM_ARCHIVED_RUN</x:v>
      </x:c>
      <x:c r="C7" s="6" t="str">
        <x:v>311.40 ppm p50 after final canonical flux</x:v>
      </x:c>
      <x:c r="D7" s="6" t="str">
        <x:v>The canonical program already misses 280 before any extension can act.</x:v>
      </x:c>
    </x:row>
    <x:row r="8">
      <x:c r="A8" s="6" t="str">
        <x:v>Hector transient→reversal</x:v>
      </x:c>
      <x:c r="B8" s="6" t="str">
        <x:v>ARCHIVED DIAGNOSTIC</x:v>
      </x:c>
      <x:c r="C8" s="6" t="str">
        <x:v>crosses Joos around 2123–2124</x:v>
      </x:c>
      <x:c r="D8" s="6" t="str">
        <x:v>Divergence is dynamic, not a constant concentration offset.</x:v>
      </x:c>
    </x:row>
    <x:row r="9">
      <x:c r="A9" s="6" t="str">
        <x:v>Zero-background non-CO₂ FaIR</x:v>
      </x:c>
      <x:c r="B9" s="6" t="str">
        <x:v>OPEN_OFFICIAL_FAIR_EXECUTION_REQUIRED</x:v>
      </x:c>
      <x:c r="C9" s="6" t="str">
        <x:v>not run</x:v>
      </x:c>
      <x:c r="D9" s="6" t="str">
        <x:v>Required to isolate warming-mediated sink weakening.</x:v>
      </x:c>
    </x:row>
    <x:row r="10">
      <x:c r="A10" s="6" t="str">
        <x:v>Inverse FaIR removal schedule</x:v>
      </x:c>
      <x:c r="B10" s="6" t="str">
        <x:v>OPEN_OFFICIAL_FAIR_EXECUTION_REQUIRED</x:v>
      </x:c>
      <x:c r="C10" s="6" t="str">
        <x:v>not run</x:v>
      </x:c>
      <x:c r="D10" s="6" t="str">
        <x:v>Required to turn non-return into a target-conditioned removal requirement.</x:v>
      </x:c>
    </x:row>
    <x:row r="11">
      <x:c r="A11" s="6" t="str">
        <x:v>Local-linear seed only</x:v>
      </x:c>
      <x:c r="B11" s="6" t="str">
        <x:v>DIAGNOSTIC</x:v>
      </x:c>
      <x:c r="C11" s="6" t="str">
        <x:v>527 GtCO₂</x:v>
      </x:c>
      <x:c r="D11" s="6" t="str">
        <x:v>Numerical seed for inversion only; NOT a restoration requirement.</x:v>
      </x:c>
    </x:row>
    <x:row r="12">
      <x:c r="A12" s="6" t="str">
        <x:v>OSCAR</x:v>
      </x:c>
      <x:c r="B12" s="6" t="str">
        <x:v>OPEN</x:v>
      </x:c>
      <x:c r="C12" s="6" t="str">
        <x:v>not run</x:v>
      </x:c>
      <x:c r="D12" s="6" t="str">
        <x:v>Original publication gate remains open.</x:v>
      </x:c>
    </x:row>
    <x:row r="13">
      <x:c r="A13" s="6" t="str">
        <x:v>Paper framing</x:v>
      </x:c>
      <x:c r="B13" s="6" t="str">
        <x:v>CURRENT</x:v>
      </x:c>
      <x:c r="C13" s="6" t="str">
        <x:v>State-dependent sink response is the result</x:v>
      </x:c>
      <x:c r="D13" s="6" t="str">
        <x:v>Finance/engineering become the mechanism for maximizing attainable restoration under that constraint.</x:v>
      </x:c>
    </x:row>
    <x:row r="16">
      <x:c r="A16" s="192" t="str">
        <x:v>Pathwise apparent atmospheric response — diagnostic, not a fixed marginal derivative</x:v>
      </x:c>
      <x:c r="B16" s="192"/>
      <x:c r="C16" s="192"/>
      <x:c r="D16" s="192"/>
      <x:c r="E16" s="192"/>
    </x:row>
    <x:row r="17">
      <x:c r="A17" s="201" t="str">
        <x:v>emissions interval</x:v>
      </x:c>
      <x:c r="B17" s="201" t="str">
        <x:v>cumulative net removal (GtCO2)</x:v>
      </x:c>
      <x:c r="C17" s="201" t="str">
        <x:v>FaIR p50 drop (ppm)</x:v>
      </x:c>
      <x:c r="D17" s="201" t="str">
        <x:v>atmospheric mass decrease eq. (GtCO2)</x:v>
      </x:c>
      <x:c r="E17" s="201" t="str">
        <x:v>apparent atmospheric response (%)</x:v>
      </x:c>
    </x:row>
    <x:row r="18">
      <x:c r="A18" s="6" t="str">
        <x:v>2039–2100</x:v>
      </x:c>
      <x:c r="B18" s="6" t="n">
        <x:v>785.7</x:v>
      </x:c>
      <x:c r="C18" s="6" t="n">
        <x:v>78.39</x:v>
      </x:c>
      <x:c r="D18" s="6" t="n">
        <x:v>609.08</x:v>
      </x:c>
      <x:c r="E18" s="6" t="n">
        <x:v>77.5</x:v>
      </x:c>
    </x:row>
    <x:row r="19">
      <x:c r="A19" s="6" t="str">
        <x:v>2101–2155</x:v>
      </x:c>
      <x:c r="B19" s="6" t="n">
        <x:v>707.24</x:v>
      </x:c>
      <x:c r="C19" s="6" t="n">
        <x:v>40.85</x:v>
      </x:c>
      <x:c r="D19" s="6" t="n">
        <x:v>317.43</x:v>
      </x:c>
      <x:c r="E19" s="6" t="n">
        <x:v>44.9</x:v>
      </x:c>
    </x:row>
    <x:row r="20">
      <x:c r="A20" s="6" t="str">
        <x:v>2156–2183</x:v>
      </x:c>
      <x:c r="B20" s="6" t="n">
        <x:v>111.34</x:v>
      </x:c>
      <x:c r="C20" s="6" t="n">
        <x:v>0.7</x:v>
      </x:c>
      <x:c r="D20" s="6" t="n">
        <x:v>5.42</x:v>
      </x:c>
      <x:c r="E20" s="6" t="n">
        <x:v>4.9</x:v>
      </x:c>
    </x:row>
    <x:row r="21">
      <x:c r="A21" s="6" t="str">
        <x:v>2184–2300</x:v>
      </x:c>
      <x:c r="B21" s="6" t="n">
        <x:v>337.54</x:v>
      </x:c>
      <x:c r="C21" s="6" t="n">
        <x:v>9.46</x:v>
      </x:c>
      <x:c r="D21" s="6" t="n">
        <x:v>73.48</x:v>
      </x:c>
      <x:c r="E21" s="6" t="n">
        <x:v>21.8</x:v>
      </x:c>
    </x:row>
    <x:row r="22">
      <x:c r="A22" s="6" t="str">
        <x:v>2301–2399</x:v>
      </x:c>
      <x:c r="B22" s="6" t="n">
        <x:v>285.61</x:v>
      </x:c>
      <x:c r="C22" s="6" t="n">
        <x:v>7.72</x:v>
      </x:c>
      <x:c r="D22" s="6" t="n">
        <x:v>59.96</x:v>
      </x:c>
      <x:c r="E22" s="6" t="n">
        <x:v>21</x:v>
      </x:c>
    </x:row>
    <x:row r="24">
      <x:c r="A24" s="203" t="str">
        <x:v>The local-linear extra-removal number is NOT a FaIR inversion and must not be used as a restoration requirement. The response fraction is state- and pathway-dependent; an official iterative FaIR inversion remains required.</x:v>
      </x:c>
      <x:c r="B24" s="203"/>
      <x:c r="C24" s="203"/>
      <x:c r="D24" s="203"/>
      <x:c r="E24" s="203"/>
    </x:row>
    <x:row r="25">
      <x:c r="A25" s="203"/>
      <x:c r="B25" s="203"/>
      <x:c r="C25" s="203"/>
      <x:c r="D25" s="203"/>
      <x:c r="E25" s="203"/>
    </x:row>
    <x:row r="26">
      <x:c r="A26" s="203"/>
      <x:c r="B26" s="203"/>
      <x:c r="C26" s="203"/>
      <x:c r="D26" s="203"/>
      <x:c r="E26" s="203"/>
    </x:row>
  </x:sheetData>
  <x:mergeCells>
    <x:mergeCell ref="A1:H1"/>
    <x:mergeCell ref="A3:H3"/>
    <x:mergeCell ref="A16:E16"/>
    <x:mergeCell ref="A24:E26"/>
  </x:mergeCells>
  <x:pageMargins left="0.7" right="0.7" top="0.75" bottom="0.75" header="0.3" footer="0.3"/>
  <x:drawing xmlns:r="http://schemas.openxmlformats.org/officeDocument/2006/relationships" r:id="Ra63d4270ad3043d4"/>
</x:worksheet>
</file>

<file path=xl/worksheets/sheet59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6" hidden="0" customWidth="1"/>
    <x:col min="8" max="8" width="26" hidden="0" customWidth="1"/>
    <x:col min="9" max="9" width="72" hidden="0" customWidth="1"/>
  </x:cols>
  <x:sheetData>
    <x:row r="1">
      <x:c r="A1" s="190" t="str">
        <x:v>V57 seaweed engineering construction — area and yield explicit</x:v>
      </x:c>
      <x:c r="B1" s="190"/>
      <x:c r="C1" s="190"/>
      <x:c r="D1" s="190"/>
      <x:c r="E1" s="190"/>
      <x:c r="F1" s="190"/>
      <x:c r="G1" s="190"/>
      <x:c r="H1" s="190"/>
      <x:c r="I1" s="190"/>
    </x:row>
    <x:row r="3">
      <x:c r="A3" s="203" t="str">
        <x:v>The nutrient-closed biomass quantity is unchanged (~0.253 Gt dry/yr), but V57 no longer commits the full 586,000 km² footprint to a diluted 4.31 t/ha/yr yield. The primary case preserves 25 t/ha/yr and reduces deployed area to ~101,000 km².</x:v>
      </x:c>
      <x:c r="B3" s="203"/>
      <x:c r="C3" s="203"/>
      <x:c r="D3" s="203"/>
      <x:c r="E3" s="203"/>
      <x:c r="F3" s="203"/>
      <x:c r="G3" s="203"/>
      <x:c r="H3" s="203"/>
      <x:c r="I3" s="203"/>
    </x:row>
    <x:row r="5">
      <x:c r="A5" s="201" t="str">
        <x:v>construction</x:v>
      </x:c>
      <x:c r="B5" s="201" t="str">
        <x:v>status</x:v>
      </x:c>
      <x:c r="C5" s="201" t="str">
        <x:v>biomass_gt_dry_yr</x:v>
      </x:c>
      <x:c r="D5" s="201" t="str">
        <x:v>farm_area_km2</x:v>
      </x:c>
      <x:c r="E5" s="201" t="str">
        <x:v>dry_yield_t_ha_yr</x:v>
      </x:c>
      <x:c r="F5" s="201" t="str">
        <x:v>area_fraction_of_586k_full_potential</x:v>
      </x:c>
      <x:c r="G5" s="201" t="str">
        <x:v>harvest_cost_scaling_factor_vs_v19_mass_based</x:v>
      </x:c>
      <x:c r="H5" s="201" t="str">
        <x:v>reason</x:v>
      </x:c>
    </x:row>
    <x:row r="6">
      <x:c r="A6" s="6" t="str">
        <x:v>yield_maintained_area_limited_PRIMARY</x:v>
      </x:c>
      <x:c r="B6" s="6" t="str">
        <x:v>V57_PRIMARY_ENGINEERING_CONSTRUCTION</x:v>
      </x:c>
      <x:c r="C6" s="6" t="n">
        <x:v>0.25257142857142856</x:v>
      </x:c>
      <x:c r="D6" s="6" t="n">
        <x:v>101028.57142857142</x:v>
      </x:c>
      <x:c r="E6" s="6" t="n">
        <x:v>25</x:v>
      </x:c>
      <x:c r="F6" s="6" t="n">
        <x:v>0.17240370550950754</x:v>
      </x:c>
      <x:c r="G6" s="6" t="n">
        <x:v>1</x:v>
      </x:c>
      <x:c r="H6" s="6" t="str">
        <x:v>If nutrients are binding, prioritize the most productive sites and reduce deployed area rather than paying to farm the full ocean footprint at one-sixth the target yield.</x:v>
      </x:c>
    </x:row>
    <x:row r="7">
      <x:c r="A7" s="6" t="str">
        <x:v>full_area_nutrient_diluted_SENSITIVITY</x:v>
      </x:c>
      <x:c r="B7" s="6" t="str">
        <x:v>ALTERNATIVE_ENGINEERING_SENSITIVITY</x:v>
      </x:c>
      <x:c r="C7" s="6" t="n">
        <x:v>0.25257142857142856</x:v>
      </x:c>
      <x:c r="D7" s="6" t="n">
        <x:v>586000</x:v>
      </x:c>
      <x:c r="E7" s="6" t="n">
        <x:v>4.3100926377376885</x:v>
      </x:c>
      <x:c r="F7" s="6" t="n">
        <x:v>1</x:v>
      </x:c>
      <x:c r="G7" s="6" t="n">
        <x:v>5.800339366515837</x:v>
      </x:c>
      <x:c r="H7" s="6" t="str">
        <x:v>Same nutrient-supported biomass spread across the full geometric footprint. The area-per-tonne multiplier is reported as a conservative harvest/transit sensitivity, not a validated cost law.</x:v>
      </x:c>
    </x:row>
    <x:row r="8">
      <x:c r="A8" s="6" t="str">
        <x:v>managed_nutrient_full_potential_HIGH</x:v>
      </x:c>
      <x:c r="B8" s="6" t="str">
        <x:v>HIGH_ENGINEERING_SCENARIO</x:v>
      </x:c>
      <x:c r="C8" s="6" t="n">
        <x:v>1.465</x:v>
      </x:c>
      <x:c r="D8" s="6" t="n">
        <x:v>586000</x:v>
      </x:c>
      <x:c r="E8" s="6" t="n">
        <x:v>25</x:v>
      </x:c>
      <x:c r="F8" s="6" t="n">
        <x:v>1</x:v>
      </x:c>
      <x:c r="G8" s="6" t="n">
        <x:v>1</x:v>
      </x:c>
      <x:c r="H8" s="6" t="str">
        <x:v>Requires demonstrated additional natural/recycled/supplemental nutrient flux and is not the primary nutrient-closed case.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24" hidden="0" customWidth="1"/>
    <x:col min="4" max="4" width="6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190" t="str">
        <x:v>V57 seaweed farmgate economics</x:v>
      </x:c>
      <x:c r="B1" s="190"/>
      <x:c r="C1" s="190"/>
      <x:c r="D1" s="190"/>
      <x:c r="E1" s="190"/>
      <x:c r="F1" s="190"/>
      <x:c r="G1" s="190"/>
      <x:c r="H1" s="190"/>
      <x:c r="I1" s="190"/>
      <x:c r="J1" s="190"/>
    </x:row>
    <x:row r="3">
      <x:c r="A3" s="215" t="str">
        <x:v>2025 large-scale Gulf of Alaska TEA reports costs centered around $250-$300/dry t and around $100/dry t under favorable close-to-base/high-yield conditions. Global modeling has much wider costs; ~$880/dry t is used only as a stress/context screen.</x:v>
      </x:c>
      <x:c r="B3" s="215"/>
      <x:c r="C3" s="215"/>
      <x:c r="D3" s="215"/>
      <x:c r="E3" s="215"/>
      <x:c r="F3" s="215"/>
      <x:c r="G3" s="215"/>
      <x:c r="H3" s="215"/>
      <x:c r="I3" s="215"/>
      <x:c r="J3" s="215"/>
    </x:row>
    <x:row r="5">
      <x:c r="A5" s="201" t="str">
        <x:v>case</x:v>
      </x:c>
      <x:c r="B5" s="201" t="str">
        <x:v>farmgate_total_usd_per_dry_t</x:v>
      </x:c>
      <x:c r="C5" s="201" t="str">
        <x:v>grid_harvest_usd_per_dry_t_v19</x:v>
      </x:c>
      <x:c r="D5" s="201" t="str">
        <x:v>derived_nonharvest_cultivation_support_usd_per_dry_t</x:v>
      </x:c>
      <x:c r="E5" s="201" t="str">
        <x:v>annual_farmgate_cost_usd_bn_primary</x:v>
      </x:c>
      <x:c r="F5" s="201" t="str">
        <x:v>annual_grid_harvest_cost_usd_bn_primary</x:v>
      </x:c>
      <x:c r="G5" s="201" t="str">
        <x:v>annual_nonharvest_cultivation_support_usd_bn_primary</x:v>
      </x:c>
      <x:c r="H5" s="201" t="str">
        <x:v>source</x:v>
      </x:c>
      <x:c r="I5" s="201" t="str">
        <x:v>source_urls</x:v>
      </x:c>
      <x:c r="J5" s="201" t="str">
        <x:v>caution</x:v>
      </x:c>
    </x:row>
    <x:row r="6">
      <x:c r="A6" s="6" t="str">
        <x:v>favorable_large_scale</x:v>
      </x:c>
      <x:c r="B6" s="6" t="n">
        <x:v>100</x:v>
      </x:c>
      <x:c r="C6" s="6" t="n">
        <x:v>24.79548900401911</x:v>
      </x:c>
      <x:c r="D6" s="6" t="n">
        <x:v>75.20451099598088</x:v>
      </x:c>
      <x:c r="E6" s="6" t="n">
        <x:v>25.257142857142856</x:v>
      </x:c>
      <x:c r="F6" s="6" t="n">
        <x:v>6.2626320798722555</x:v>
      </x:c>
      <x:c r="G6" s="6" t="n">
        <x:v>18.994510777270598</x:v>
      </x:c>
      <x:c r="H6" s="6" t="str">
        <x:v>Stekoll et al. 2025 for ~$100 favorable and ~$250-300 centered 1000-ha farmgate estimates; Bach et al. Nature Plants global cost context for ~$880 median in modeled lowest-cost ocean area.</x:v>
      </x:c>
      <x:c r="I6" s="6" t="str">
        <x:v>["https://doi.org/10.1111/jwas.70017", "https://doi.org/10.1038/s41477-022-01305-9"]</x:v>
      </x:c>
      <x:c r="J6" s="6" t="str">
        <x:v>The non-harvest line is a derived residual for model completeness, not a published decomposition. Published farmgate costs include farm operations and harvesting assumptions that differ from the Grid Harvester design.</x:v>
      </x:c>
    </x:row>
    <x:row r="7">
      <x:c r="A7" s="6" t="str">
        <x:v>central_large_scale</x:v>
      </x:c>
      <x:c r="B7" s="6" t="n">
        <x:v>275</x:v>
      </x:c>
      <x:c r="C7" s="6" t="n">
        <x:v>24.79548900401911</x:v>
      </x:c>
      <x:c r="D7" s="6" t="n">
        <x:v>250.20451099598088</x:v>
      </x:c>
      <x:c r="E7" s="6" t="n">
        <x:v>69.45714285714286</x:v>
      </x:c>
      <x:c r="F7" s="6" t="n">
        <x:v>6.2626320798722555</x:v>
      </x:c>
      <x:c r="G7" s="6" t="n">
        <x:v>63.1945107772706</x:v>
      </x:c>
      <x:c r="H7" s="6" t="str">
        <x:v>Stekoll et al. 2025 for ~$100 favorable and ~$250-300 centered 1000-ha farmgate estimates; Bach et al. Nature Plants global cost context for ~$880 median in modeled lowest-cost ocean area.</x:v>
      </x:c>
      <x:c r="I7" s="6" t="str">
        <x:v>["https://doi.org/10.1111/jwas.70017", "https://doi.org/10.1038/s41477-022-01305-9"]</x:v>
      </x:c>
      <x:c r="J7" s="6" t="str">
        <x:v>The non-harvest line is a derived residual for model completeness, not a published decomposition. Published farmgate costs include farm operations and harvesting assumptions that differ from the Grid Harvester design.</x:v>
      </x:c>
    </x:row>
    <x:row r="8">
      <x:c r="A8" s="6" t="str">
        <x:v>global_low_cost_area_stress</x:v>
      </x:c>
      <x:c r="B8" s="6" t="n">
        <x:v>880</x:v>
      </x:c>
      <x:c r="C8" s="6" t="n">
        <x:v>24.79548900401911</x:v>
      </x:c>
      <x:c r="D8" s="6" t="n">
        <x:v>855.2045109959809</x:v>
      </x:c>
      <x:c r="E8" s="6" t="n">
        <x:v>222.26285714285714</x:v>
      </x:c>
      <x:c r="F8" s="6" t="n">
        <x:v>6.2626320798722555</x:v>
      </x:c>
      <x:c r="G8" s="6" t="n">
        <x:v>216.00022506298487</x:v>
      </x:c>
      <x:c r="H8" s="6" t="str">
        <x:v>Stekoll et al. 2025 for ~$100 favorable and ~$250-300 centered 1000-ha farmgate estimates; Bach et al. Nature Plants global cost context for ~$880 median in modeled lowest-cost ocean area.</x:v>
      </x:c>
      <x:c r="I8" s="6" t="str">
        <x:v>["https://doi.org/10.1111/jwas.70017", "https://doi.org/10.1038/s41477-022-01305-9"]</x:v>
      </x:c>
      <x:c r="J8" s="6" t="str">
        <x:v>The non-harvest line is a derived residual for model completeness, not a published decomposition. Published farmgate costs include farm operations and harvesting assumptions that differ from the Grid Harvester design.</x:v>
      </x:c>
    </x:row>
    <x:row r="11">
      <x:c r="A11" s="201" t="str">
        <x:v>Primary cost identity</x:v>
      </x:c>
      <x:c r="B11" s="201" t="str">
        <x:v>Value</x:v>
      </x:c>
      <x:c r="C11" s="201" t="str">
        <x:v>Unit</x:v>
      </x:c>
      <x:c r="D11" s="201" t="str">
        <x:v>Interpretation</x:v>
      </x:c>
    </x:row>
    <x:row r="12">
      <x:c r="A12" s="6" t="str">
        <x:v>Primary biomass</x:v>
      </x:c>
      <x:c r="B12" s="6" t="n">
        <x:v>0.25257142857142856</x:v>
      </x:c>
      <x:c r="C12" s="6" t="str">
        <x:v>Gt dry/yr</x:v>
      </x:c>
      <x:c r="D12" s="6" t="str">
        <x:v>Nutrient-closed biomass.</x:v>
      </x:c>
    </x:row>
    <x:row r="13">
      <x:c r="A13" s="6" t="str">
        <x:v>V19 Grid Harvester cost</x:v>
      </x:c>
      <x:c r="B13" s="6" t="n">
        <x:v>24.79548900401911</x:v>
      </x:c>
      <x:c r="C13" s="6" t="str">
        <x:v>USD/dry t</x:v>
      </x:c>
      <x:c r="D13" s="6" t="str">
        <x:v>Physical harvesting screen, not whole cultivation cost.</x:v>
      </x:c>
    </x:row>
    <x:row r="14">
      <x:c r="A14" s="6" t="str">
        <x:v>Central whole-farm gate screen</x:v>
      </x:c>
      <x:c r="B14" s="6" t="n">
        <x:v>275</x:v>
      </x:c>
      <x:c r="C14" s="6" t="str">
        <x:v>USD/dry t</x:v>
      </x:c>
      <x:c r="D14" s="6" t="str">
        <x:v>Large-scale screening midpoint from published TEA context.</x:v>
      </x:c>
    </x:row>
    <x:row r="15">
      <x:c r="A15" s="6" t="str">
        <x:v>Central annual farmgate cost</x:v>
      </x:c>
      <x:c r="B15" s="6" t="n">
        <x:v>69.45714285714286</x:v>
      </x:c>
      <x:c r="C15" s="6" t="str">
        <x:v>USD bn/yr</x:v>
      </x:c>
      <x:c r="D15" s="6" t="str">
        <x:v>Whole-farm screening total.</x:v>
      </x:c>
    </x:row>
    <x:row r="16">
      <x:c r="A16" s="6" t="str">
        <x:v>Annual Grid Harvester screen</x:v>
      </x:c>
      <x:c r="B16" s="6" t="n">
        <x:v>6.2626320798722555</x:v>
      </x:c>
      <x:c r="C16" s="6" t="str">
        <x:v>USD bn/yr</x:v>
      </x:c>
      <x:c r="D16" s="6" t="str">
        <x:v>Included as a sub-screen.</x:v>
      </x:c>
    </x:row>
    <x:row r="17">
      <x:c r="A17" s="6" t="str">
        <x:v>Derived non-harvest cultivation/support residual</x:v>
      </x:c>
      <x:c r="B17" s="6" t="n">
        <x:v>63.1945107772706</x:v>
      </x:c>
      <x:c r="C17" s="6" t="str">
        <x:v>USD bn/yr</x:v>
      </x:c>
      <x:c r="D17" s="6" t="str">
        <x:v>Accounting residual only; not a published component split.</x:v>
      </x:c>
    </x:row>
  </x:sheetData>
  <x:mergeCells>
    <x:mergeCell ref="A1:J1"/>
    <x:mergeCell ref="A3:J3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74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190" t="str">
        <x:v>V57 seaweed ash/mineral fate and process accounting</x:v>
      </x:c>
      <x:c r="B1" s="190"/>
      <x:c r="C1" s="190"/>
      <x:c r="D1" s="190"/>
      <x:c r="E1" s="190"/>
      <x:c r="F1" s="190"/>
      <x:c r="G1" s="190"/>
      <x:c r="H1" s="190"/>
    </x:row>
    <x:row r="3">
      <x:c r="A3" s="215" t="str">
        <x:v>HTL process energy remains scaled to total processed feedstock because inorganic material still has to be pumped/heated through the process. Finished-fuel yield is on ash-free dry organics. Ash handling electricity is now explicit and additive.</x:v>
      </x:c>
      <x:c r="B3" s="215"/>
      <x:c r="C3" s="215"/>
      <x:c r="D3" s="215"/>
      <x:c r="E3" s="215"/>
      <x:c r="F3" s="215"/>
      <x:c r="G3" s="215"/>
      <x:c r="H3" s="215"/>
    </x:row>
    <x:row r="5">
      <x:c r="A5" s="201" t="str">
        <x:v>case</x:v>
      </x:c>
      <x:c r="B5" s="201" t="str">
        <x:v>ash_entering_fuel_process_mt_yr</x:v>
      </x:c>
      <x:c r="C5" s="201" t="str">
        <x:v>mineral_recovery_target_fraction</x:v>
      </x:c>
      <x:c r="D5" s="201" t="str">
        <x:v>candidate_recovered_mineral_stream_mt_yr</x:v>
      </x:c>
      <x:c r="E5" s="201" t="str">
        <x:v>controlled_residual_mt_yr</x:v>
      </x:c>
      <x:c r="F5" s="201" t="str">
        <x:v>ash_handling_energy_kwh_t_ash</x:v>
      </x:c>
      <x:c r="G5" s="201" t="str">
        <x:v>ash_handling_electricity_twh_yr</x:v>
      </x:c>
      <x:c r="H5" s="201" t="str">
        <x:v>credit_to_existing_nutrient_loop_mt_yr</x:v>
      </x:c>
      <x:c r="I5" s="201" t="str">
        <x:v>credit_rule</x:v>
      </x:c>
    </x:row>
    <x:row r="6">
      <x:c r="A6" s="6" t="str">
        <x:v>low_recovery</x:v>
      </x:c>
      <x:c r="B6" s="6" t="n">
        <x:v>50.51428571428571</x:v>
      </x:c>
      <x:c r="C6" s="6" t="n">
        <x:v>0.5</x:v>
      </x:c>
      <x:c r="D6" s="6" t="n">
        <x:v>25.257142857142856</x:v>
      </x:c>
      <x:c r="E6" s="6" t="n">
        <x:v>25.257142857142856</x:v>
      </x:c>
      <x:c r="F6" s="6" t="n">
        <x:v>10</x:v>
      </x:c>
      <x:c r="G6" s="6" t="n">
        <x:v>0.5051428571428571</x:v>
      </x:c>
      <x:c r="H6" s="6" t="n">
        <x:v>0</x:v>
      </x:c>
      <x:c r="I6" s="6" t="str">
        <x:v>ZERO until species/process-specific K/P/Ca/Mg/Na/iodine partition, contaminant limits and recovery efficiencies are measured. This prevents double counting.</x:v>
      </x:c>
    </x:row>
    <x:row r="7">
      <x:c r="A7" s="6" t="str">
        <x:v>central_recovery</x:v>
      </x:c>
      <x:c r="B7" s="6" t="n">
        <x:v>50.51428571428571</x:v>
      </x:c>
      <x:c r="C7" s="6" t="n">
        <x:v>0.8</x:v>
      </x:c>
      <x:c r="D7" s="6" t="n">
        <x:v>40.41142857142857</x:v>
      </x:c>
      <x:c r="E7" s="6" t="n">
        <x:v>10.10285714285714</x:v>
      </x:c>
      <x:c r="F7" s="6" t="n">
        <x:v>25</x:v>
      </x:c>
      <x:c r="G7" s="6" t="n">
        <x:v>1.2628571428571427</x:v>
      </x:c>
      <x:c r="H7" s="6" t="n">
        <x:v>0</x:v>
      </x:c>
      <x:c r="I7" s="6" t="str">
        <x:v>ZERO until species/process-specific K/P/Ca/Mg/Na/iodine partition, contaminant limits and recovery efficiencies are measured. This prevents double counting.</x:v>
      </x:c>
    </x:row>
    <x:row r="8">
      <x:c r="A8" s="6" t="str">
        <x:v>high_recovery</x:v>
      </x:c>
      <x:c r="B8" s="6" t="n">
        <x:v>50.51428571428571</x:v>
      </x:c>
      <x:c r="C8" s="6" t="n">
        <x:v>0.95</x:v>
      </x:c>
      <x:c r="D8" s="6" t="n">
        <x:v>47.988571428571426</x:v>
      </x:c>
      <x:c r="E8" s="6" t="n">
        <x:v>2.525714285714288</x:v>
      </x:c>
      <x:c r="F8" s="6" t="n">
        <x:v>50</x:v>
      </x:c>
      <x:c r="G8" s="6" t="n">
        <x:v>2.5257142857142854</x:v>
      </x:c>
      <x:c r="H8" s="6" t="n">
        <x:v>0</x:v>
      </x:c>
      <x:c r="I8" s="6" t="str">
        <x:v>ZERO until species/process-specific K/P/Ca/Mg/Na/iodine partition, contaminant limits and recovery efficiencies are measured. This prevents double counting.</x:v>
      </x:c>
    </x:row>
    <x:row r="11">
      <x:c r="A11" s="192" t="str">
        <x:v>Ash fraction sensitivity propagated into finished fuel</x:v>
      </x:c>
      <x:c r="B11" s="192"/>
      <x:c r="C11" s="192"/>
      <x:c r="D11" s="192"/>
      <x:c r="E11" s="192"/>
      <x:c r="F11" s="192"/>
      <x:c r="G11" s="192"/>
      <x:c r="H11" s="192"/>
    </x:row>
    <x:row r="12">
      <x:c r="A12" s="201" t="str">
        <x:v>ash_fraction</x:v>
      </x:c>
      <x:c r="B12" s="201" t="str">
        <x:v>ash_mt_yr</x:v>
      </x:c>
      <x:c r="C12" s="201" t="str">
        <x:v>finished_fuel_mt_yr</x:v>
      </x:c>
      <x:c r="D12" s="201" t="str">
        <x:v>finished_fuel_energy_twh_yr</x:v>
      </x:c>
    </x:row>
    <x:row r="13">
      <x:c r="A13" s="6" t="n">
        <x:v>0.2</x:v>
      </x:c>
      <x:c r="B13" s="6" t="n">
        <x:v>40.41142857142857</x:v>
      </x:c>
      <x:c r="C13" s="6" t="n">
        <x:v>27.479771428571432</x:v>
      </x:c>
      <x:c r="D13" s="6" t="n">
        <x:v>328.23060317460323</x:v>
      </x:c>
    </x:row>
    <x:row r="14">
      <x:c r="A14" s="6" t="n">
        <x:v>0.25</x:v>
      </x:c>
      <x:c r="B14" s="6" t="n">
        <x:v>50.51428571428571</x:v>
      </x:c>
      <x:c r="C14" s="6" t="n">
        <x:v>25.762285714285717</x:v>
      </x:c>
      <x:c r="D14" s="6" t="n">
        <x:v>307.71619047619055</x:v>
      </x:c>
    </x:row>
    <x:row r="15">
      <x:c r="A15" s="6" t="n">
        <x:v>0.35</x:v>
      </x:c>
      <x:c r="B15" s="6" t="n">
        <x:v>70.72</x:v>
      </x:c>
      <x:c r="C15" s="6" t="n">
        <x:v>22.327314285714287</x:v>
      </x:c>
      <x:c r="D15" s="6" t="n">
        <x:v>266.6873650793651</x:v>
      </x:c>
    </x:row>
    <x:row r="18">
      <x:c r="A18" s="201" t="str">
        <x:v>Rule</x:v>
      </x:c>
      <x:c r="B18" s="201" t="str">
        <x:v>V57 treatment</x:v>
      </x:c>
      <x:c r="C18" s="201" t="str">
        <x:v>Status</x:v>
      </x:c>
      <x:c r="D18" s="201" t="str">
        <x:v>Reason</x:v>
      </x:c>
    </x:row>
    <x:row r="19">
      <x:c r="A19" t="str">
        <x:v>Ash entering fuel-process stream</x:v>
      </x:c>
      <x:c r="B19" t="n">
        <x:v>50.51</x:v>
      </x:c>
      <x:c r="C19" t="str">
        <x:v>Mt/yr at 25% ash</x:v>
      </x:c>
      <x:c r="D19" t="str">
        <x:v>Mass balance now explicit.</x:v>
      </x:c>
    </x:row>
    <x:row r="20">
      <x:c r="A20" t="str">
        <x:v>Current nutrient-loop credit</x:v>
      </x:c>
      <x:c r="B20" t="n">
        <x:v>0</x:v>
      </x:c>
      <x:c r="C20" t="str">
        <x:v>Mt/yr credited</x:v>
      </x:c>
      <x:c r="D20" t="str">
        <x:v>Zero until species/process-specific mineral composition, contaminants and recovery efficiencies are measured.</x:v>
      </x:c>
    </x:row>
    <x:row r="21">
      <x:c r="A21" t="str">
        <x:v>Literature partition</x:v>
      </x:c>
      <x:c r="B21" t="str">
        <x:v>K/Na mostly aqueous; Ca/Mg more solid residue</x:v>
      </x:c>
      <x:c r="C21" t="str">
        <x:v>engineering context</x:v>
      </x:c>
      <x:c r="D21" t="str">
        <x:v>Supports recovery pathway but not automatic fertilizer credit.</x:v>
      </x:c>
    </x:row>
    <x:row r="22">
      <x:c r="A22" t="str">
        <x:v>Process energy</x:v>
      </x:c>
      <x:c r="B22" t="str">
        <x:v>Total feedstock heated/pumped + ash handling</x:v>
      </x:c>
      <x:c r="C22" t="str">
        <x:v>accounting rule</x:v>
      </x:c>
      <x:c r="D22" t="str">
        <x:v>Ash-free mass controls fuel yield, but inorganic mass still imposes process duty.</x:v>
      </x:c>
    </x:row>
  </x:sheetData>
  <x:mergeCells>
    <x:mergeCell ref="A1:H1"/>
    <x:mergeCell ref="A3:H3"/>
    <x:mergeCell ref="A11:H1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4" hidden="0" customWidth="1"/>
    <x:col min="3" max="3" width="28" hidden="0" customWidth="1"/>
    <x:col min="4" max="4" width="78" hidden="0" customWidth="1"/>
    <x:col min="5" max="5" width="20" hidden="0" customWidth="1"/>
    <x:col min="6" max="6" width="20" hidden="0" customWidth="1"/>
  </x:cols>
  <x:sheetData>
    <x:row r="1">
      <x:c r="A1" s="190" t="str">
        <x:v>V57 seaweed food — protein-first nutrition screen</x:v>
      </x:c>
      <x:c r="B1" s="190"/>
      <x:c r="C1" s="190"/>
      <x:c r="D1" s="190"/>
      <x:c r="E1" s="190"/>
      <x:c r="F1" s="190"/>
    </x:row>
    <x:row r="3">
      <x:c r="A3" s="201" t="str">
        <x:v>Metric</x:v>
      </x:c>
      <x:c r="B3" s="201" t="str">
        <x:v>Value</x:v>
      </x:c>
      <x:c r="C3" s="201" t="str">
        <x:v>Unit/status</x:v>
      </x:c>
      <x:c r="D3" s="201" t="str">
        <x:v>Interpretation</x:v>
      </x:c>
    </x:row>
    <x:row r="4">
      <x:c r="A4" s="6" t="str">
        <x:v>Food-grade dry seaweed</x:v>
      </x:c>
      <x:c r="B4" s="6" t="n">
        <x:v>12.629</x:v>
      </x:c>
      <x:c r="C4" s="6" t="str">
        <x:v>Mt dry/yr</x:v>
      </x:c>
      <x:c r="D4" s="6" t="str">
        <x:v>5% allocation of primary nutrient-closed biomass.</x:v>
      </x:c>
    </x:row>
    <x:row r="5">
      <x:c r="A5" s="6" t="str">
        <x:v>Gross protein</x:v>
      </x:c>
      <x:c r="B5" s="6" t="n">
        <x:v>1.263</x:v>
      </x:c>
      <x:c r="C5" s="6" t="str">
        <x:v>Mt/yr</x:v>
      </x:c>
      <x:c r="D5" s="6" t="str">
        <x:v>10% dry-mass protein screen.</x:v>
      </x:c>
    </x:row>
    <x:row r="6">
      <x:c r="A6" s="6" t="str">
        <x:v>Digestible protein</x:v>
      </x:c>
      <x:c r="B6" s="6" t="n">
        <x:v>0.884</x:v>
      </x:c>
      <x:c r="C6" s="6" t="str">
        <x:v>Mt/yr</x:v>
      </x:c>
      <x:c r="D6" s="6" t="str">
        <x:v>70% human digestibility screening assumption.</x:v>
      </x:c>
    </x:row>
    <x:row r="7">
      <x:c r="A7" s="6" t="str">
        <x:v>50 g/day equivalent — gross production</x:v>
      </x:c>
      <x:c r="B7" s="6" t="n">
        <x:v>48.4</x:v>
      </x:c>
      <x:c r="C7" s="6" t="str">
        <x:v>million people</x:v>
      </x:c>
      <x:c r="D7" s="6" t="str">
        <x:v>Full annual protein requirement equivalents.</x:v>
      </x:c>
    </x:row>
    <x:row r="8">
      <x:c r="A8" s="6" t="str">
        <x:v>50 g/day equivalent — after 85% delivery</x:v>
      </x:c>
      <x:c r="B8" s="6" t="n">
        <x:v>41.2</x:v>
      </x:c>
      <x:c r="C8" s="6" t="str">
        <x:v>million people</x:v>
      </x:c>
      <x:c r="D8" s="6" t="str">
        <x:v>Includes existing processing/distribution delivery factor.</x:v>
      </x:c>
    </x:row>
    <x:row r="9">
      <x:c r="A9" s="6" t="str">
        <x:v>65 g/day equivalent — gross production</x:v>
      </x:c>
      <x:c r="B9" s="6" t="n">
        <x:v>37.3</x:v>
      </x:c>
      <x:c r="C9" s="6" t="str">
        <x:v>million people</x:v>
      </x:c>
      <x:c r="D9" s="6" t="str">
        <x:v>Higher-protein screening requirement.</x:v>
      </x:c>
    </x:row>
    <x:row r="10">
      <x:c r="A10" s="6" t="str">
        <x:v>65 g/day equivalent — after 85% delivery</x:v>
      </x:c>
      <x:c r="B10" s="6" t="n">
        <x:v>31.7</x:v>
      </x:c>
      <x:c r="C10" s="6" t="str">
        <x:v>million people</x:v>
      </x:c>
      <x:c r="D10" s="6" t="str">
        <x:v>Higher-protein screen after delivery losses.</x:v>
      </x:c>
    </x:row>
    <x:row r="11">
      <x:c r="A11" s="6" t="str">
        <x:v>Calorie-gap headline</x:v>
      </x:c>
      <x:c r="B11" s="6" t="str">
        <x:v>REMOVED</x:v>
      </x:c>
      <x:c r="C11" s="6" t="str">
        <x:v>status</x:v>
      </x:c>
      <x:c r="D11" s="6" t="str">
        <x:v>Legacy 2,000 kcal/kg gross-energy value is not used as human metabolizable energy.</x:v>
      </x:c>
    </x:row>
    <x:row r="14">
      <x:c r="A14" s="203" t="str">
        <x:v>Report digestible protein and micronutrient potential. Do not convert the legacy 2,000-kcal/kg gross-energy screen into people-fed or hunger-ending claims without species-specific human metabolizable-energy evidence.</x:v>
      </x:c>
      <x:c r="B14" s="203"/>
      <x:c r="C14" s="203"/>
      <x:c r="D14" s="203"/>
    </x:row>
    <x:row r="15">
      <x:c r="A15" s="203"/>
      <x:c r="B15" s="203"/>
      <x:c r="C15" s="203"/>
      <x:c r="D15" s="203"/>
    </x:row>
    <x:row r="16">
      <x:c r="A16" s="203"/>
      <x:c r="B16" s="203"/>
      <x:c r="C16" s="203"/>
      <x:c r="D16" s="203"/>
    </x:row>
    <x:row r="17">
      <x:c r="A17" s="203"/>
      <x:c r="B17" s="203"/>
      <x:c r="C17" s="203"/>
      <x:c r="D17" s="203"/>
    </x:row>
  </x:sheetData>
  <x:mergeCells>
    <x:mergeCell ref="A1:F1"/>
    <x:mergeCell ref="A14:D17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2" hidden="0" customWidth="1"/>
    <x:col min="3" max="3" width="26" hidden="0" customWidth="1"/>
    <x:col min="4" max="4" width="76" hidden="0" customWidth="1"/>
    <x:col min="5" max="5" width="18" hidden="0" customWidth="1"/>
  </x:cols>
  <x:sheetData>
    <x:row r="1">
      <x:c r="A1" s="190" t="str">
        <x:v>V57 fisheries — literature-bounded recovery with scenario-specific seaweed footprint</x:v>
      </x:c>
      <x:c r="B1" s="190"/>
      <x:c r="C1" s="190"/>
      <x:c r="D1" s="190"/>
      <x:c r="E1" s="190"/>
    </x:row>
    <x:row r="3">
      <x:c r="A3" s="201" t="str">
        <x:v>Metric</x:v>
      </x:c>
      <x:c r="B3" s="201" t="str">
        <x:v>Value</x:v>
      </x:c>
      <x:c r="C3" s="201" t="str">
        <x:v>Unit/status</x:v>
      </x:c>
      <x:c r="D3" s="201" t="str">
        <x:v>Interpretation</x:v>
      </x:c>
    </x:row>
    <x:row r="4">
      <x:c r="A4" t="str">
        <x:v>Biologically sustainable assessed stocks, 2023</x:v>
      </x:c>
      <x:c r="B4" t="n">
        <x:v>62.4</x:v>
      </x:c>
      <x:c r="C4" t="str">
        <x:v>%</x:v>
      </x:c>
      <x:c r="D4" t="str">
        <x:v>Observed external reference.</x:v>
      </x:c>
    </x:row>
    <x:row r="5">
      <x:c r="A5" t="str">
        <x:v>Landings from sustainable assessed stocks</x:v>
      </x:c>
      <x:c r="B5" t="n">
        <x:v>72.6</x:v>
      </x:c>
      <x:c r="C5" t="str">
        <x:v>%</x:v>
      </x:c>
      <x:c r="D5" t="str">
        <x:v>Observed external reference.</x:v>
      </x:c>
    </x:row>
    <x:row r="6">
      <x:c r="A6" t="str">
        <x:v>Managed-stock median recovery sensitivity</x:v>
      </x:c>
      <x:c r="B6" t="n">
        <x:v>10</x:v>
      </x:c>
      <x:c r="C6" t="str">
        <x:v>years</x:v>
      </x:c>
      <x:c r="D6" t="str">
        <x:v>Literature screen, not every stock/ecosystem.</x:v>
      </x:c>
    </x:row>
    <x:row r="7">
      <x:c r="A7" t="str">
        <x:v>Modeled fisheries in external study</x:v>
      </x:c>
      <x:c r="B7" t="n">
        <x:v>4713</x:v>
      </x:c>
      <x:c r="C7" t="str">
        <x:v>fisheries</x:v>
      </x:c>
      <x:c r="D7" t="str">
        <x:v>External reform scenario basis.</x:v>
      </x:c>
    </x:row>
    <x:row r="8">
      <x:c r="A8" t="str">
        <x:v>Modeled healthy fraction by 2050</x:v>
      </x:c>
      <x:c r="B8" t="n">
        <x:v>98</x:v>
      </x:c>
      <x:c r="C8" t="str">
        <x:v>%</x:v>
      </x:c>
      <x:c r="D8" t="str">
        <x:v>External scenario context.</x:v>
      </x:c>
    </x:row>
    <x:row r="9">
      <x:c r="A9" t="str">
        <x:v>Primary seaweed habitat footprint</x:v>
      </x:c>
      <x:c r="B9" t="n">
        <x:v>101</x:v>
      </x:c>
      <x:c r="C9" t="str">
        <x:v>thousand km²</x:v>
      </x:c>
      <x:c r="D9" t="str">
        <x:v>Scenario-specific V57 primary footprint.</x:v>
      </x:c>
    </x:row>
    <x:row r="10">
      <x:c r="A10" t="str">
        <x:v>Managed-nutrient high footprint</x:v>
      </x:c>
      <x:c r="B10" t="n">
        <x:v>586</x:v>
      </x:c>
      <x:c r="C10" t="str">
        <x:v>thousand km²</x:v>
      </x:c>
      <x:c r="D10" t="str">
        <x:v>High seaweed scenario.</x:v>
      </x:c>
    </x:row>
    <x:row r="11">
      <x:c r="A11" t="str">
        <x:v>Seaweed co-culture counted as wild recovery</x:v>
      </x:c>
      <x:c r="B11" t="str">
        <x:v>NO</x:v>
      </x:c>
      <x:c r="C11" t="str">
        <x:v>accounting rule</x:v>
      </x:c>
      <x:c r="D11" t="str">
        <x:v>Prevents double counting.</x:v>
      </x:c>
    </x:row>
    <x:row r="12">
      <x:c r="A12" t="str">
        <x:v>Global ecosystem recovery year</x:v>
      </x:c>
      <x:c r="B12" t="str">
        <x:v>NONE</x:v>
      </x:c>
      <x:c r="C12" t="str">
        <x:v>publication rule</x:v>
      </x:c>
      <x:c r="D12" t="str">
        <x:v>No single global stock-by-stock restoration year is generated.</x:v>
      </x:c>
    </x:row>
    <x:row r="15">
      <x:c r="A15" s="215" t="str">
        <x:v>Use ~10 years only as a managed-stock median sensitivity and 2050 as a literature planning horizon; do not claim global ecosystem restoration by a single year.</x:v>
      </x:c>
      <x:c r="B15" s="215"/>
      <x:c r="C15" s="215"/>
      <x:c r="D15" s="215"/>
    </x:row>
    <x:row r="16">
      <x:c r="A16" s="215"/>
      <x:c r="B16" s="215"/>
      <x:c r="C16" s="215"/>
      <x:c r="D16" s="215"/>
    </x:row>
    <x:row r="17">
      <x:c r="A17" s="215"/>
      <x:c r="B17" s="215"/>
      <x:c r="C17" s="215"/>
      <x:c r="D17" s="215"/>
    </x:row>
    <x:row r="18">
      <x:c r="A18" s="215"/>
      <x:c r="B18" s="215"/>
      <x:c r="C18" s="215"/>
      <x:c r="D18" s="215"/>
    </x:row>
  </x:sheetData>
  <x:mergeCells>
    <x:mergeCell ref="A1:E1"/>
    <x:mergeCell ref="A15:D18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4" hidden="0" customWidth="1"/>
    <x:col min="3" max="3" width="68" hidden="0" customWidth="1"/>
    <x:col min="4" max="4" width="20" hidden="0" customWidth="1"/>
    <x:col min="5" max="5" width="22" hidden="0" customWidth="1"/>
    <x:col min="6" max="6" width="22" hidden="0" customWidth="1"/>
  </x:cols>
  <x:sheetData>
    <x:row r="1">
      <x:c r="A1" s="190" t="str">
        <x:v>V57 supersession and lineage controls</x:v>
      </x:c>
      <x:c r="B1" s="190"/>
      <x:c r="C1" s="190"/>
      <x:c r="D1" s="190"/>
      <x:c r="E1" s="190"/>
      <x:c r="F1" s="190"/>
    </x:row>
    <x:row r="3">
      <x:c r="A3" s="201" t="str">
        <x:v>Control</x:v>
      </x:c>
      <x:c r="B3" s="201" t="str">
        <x:v>Value/status</x:v>
      </x:c>
      <x:c r="C3" s="201" t="str">
        <x:v>Meaning</x:v>
      </x:c>
      <x:c r="D3" s="201" t="str">
        <x:v>Audit outcome</x:v>
      </x:c>
    </x:row>
    <x:row r="4">
      <x:c r="A4" s="6" t="str">
        <x:v>Current JSON carries live V55 derived results</x:v>
      </x:c>
      <x:c r="B4" s="6" t="str">
        <x:v>FALSE</x:v>
      </x:c>
      <x:c r="C4" s="6" t="str">
        <x:v>V55 climate/seaweed/hunger derived headlines are omitted from current result tree.</x:v>
      </x:c>
      <x:c r="D4" s="6" t="str">
        <x:v>FIXED</x:v>
      </x:c>
    </x:row>
    <x:row r="5">
      <x:c r="A5" s="6" t="str">
        <x:v>Legacy architecture status</x:v>
      </x:c>
      <x:c r="B5" s="6" t="str">
        <x:v>HISTORICAL_ARCHITECTURE_ONLY_SUPERSEDED_DERIVED_VALUES_OMITTED</x:v>
      </x:c>
      <x:c r="C5" s="6" t="str">
        <x:v>Only architecture/lineage references retained.</x:v>
      </x:c>
      <x:c r="D5" s="6" t="str">
        <x:v>FIXED</x:v>
      </x:c>
    </x:row>
    <x:row r="6">
      <x:c r="A6" s="6" t="str">
        <x:v>Superseded by</x:v>
      </x:c>
      <x:c r="B6" s="6" t="str">
        <x:v>V57</x:v>
      </x:c>
      <x:c r="C6" s="6" t="str">
        <x:v>Current release owns headline values.</x:v>
      </x:c>
      <x:c r="D6" s="6" t="str">
        <x:v>FIXED</x:v>
      </x:c>
    </x:row>
    <x:row r="7">
      <x:c r="A7" s="6" t="str">
        <x:v>Old Seaweed_SAF sheet</x:v>
      </x:c>
      <x:c r="B7" s="6" t="str">
        <x:v>HISTORICAL / SUPERSEDED</x:v>
      </x:c>
      <x:c r="C7" s="6" t="str">
        <x:v>Still visible for lineage but bannered.</x:v>
      </x:c>
      <x:c r="D7" s="6" t="str">
        <x:v>FIXED</x:v>
      </x:c>
    </x:row>
    <x:row r="8">
      <x:c r="A8" s="6" t="str">
        <x:v>Old Seaweed_Food sheet</x:v>
      </x:c>
      <x:c r="B8" s="6" t="str">
        <x:v>HISTORICAL / SUPERSEDED</x:v>
      </x:c>
      <x:c r="C8" s="6" t="str">
        <x:v>Still visible for lineage but bannered.</x:v>
      </x:c>
      <x:c r="D8" s="6" t="str">
        <x:v>FIXED</x:v>
      </x:c>
    </x:row>
    <x:row r="9">
      <x:c r="A9" s="6" t="str">
        <x:v>Old CSP_HTL sheet</x:v>
      </x:c>
      <x:c r="B9" s="6" t="str">
        <x:v>HISTORICAL / SUPERSEDED</x:v>
      </x:c>
      <x:c r="C9" s="6" t="str">
        <x:v>Still visible for lineage but bannered.</x:v>
      </x:c>
      <x:c r="D9" s="6" t="str">
        <x:v>FIXED</x:v>
      </x:c>
    </x:row>
    <x:row r="10">
      <x:c r="A10" s="6" t="str">
        <x:v>Old Grid_Harvester sheet</x:v>
      </x:c>
      <x:c r="B10" s="6" t="str">
        <x:v>HISTORICAL / SUPERSEDED</x:v>
      </x:c>
      <x:c r="C10" s="6" t="str">
        <x:v>Physical lineage remains useful; old scale/output is not current.</x:v>
      </x:c>
      <x:c r="D10" s="6" t="str">
        <x:v>FIXED</x:v>
      </x:c>
    </x:row>
    <x:row r="11">
      <x:c r="A11" s="6" t="str">
        <x:v>V56 seaweed full-area convention</x:v>
      </x:c>
      <x:c r="B11" s="6" t="str">
        <x:v>SUPERSEDED</x:v>
      </x:c>
      <x:c r="C11" s="6" t="str">
        <x:v>Primary V57 uses yield-maintained area-limited construction.</x:v>
      </x:c>
      <x:c r="D11" s="6" t="str">
        <x:v>FIXED</x:v>
      </x:c>
    </x:row>
    <x:row r="14">
      <x:c r="A14" s="192" t="str">
        <x:v>Derived V55 blocks deliberately omitted from V57 current JSON</x:v>
      </x:c>
      <x:c r="B14" s="192"/>
      <x:c r="C14" s="192"/>
      <x:c r="D14" s="192"/>
      <x:c r="E14" s="192"/>
      <x:c r="F14" s="192"/>
    </x:row>
    <x:row r="15">
      <x:c r="A15" s="6" t="str">
        <x:v>v53_1_core</x:v>
      </x:c>
    </x:row>
    <x:row r="16">
      <x:c r="A16" s="6" t="str">
        <x:v>v53_1_core_validation</x:v>
      </x:c>
    </x:row>
    <x:row r="17">
      <x:c r="A17" s="6" t="str">
        <x:v>integrated_seaweed</x:v>
      </x:c>
    </x:row>
    <x:row r="18">
      <x:c r="A18" s="6" t="str">
        <x:v>historical_seaweed_reference</x:v>
      </x:c>
    </x:row>
    <x:row r="19">
      <x:c r="A19" s="6" t="str">
        <x:v>current_resource_screens</x:v>
      </x:c>
    </x:row>
    <x:row r="20">
      <x:c r="A20" s="6" t="str">
        <x:v>food_logistics</x:v>
      </x:c>
    </x:row>
    <x:row r="21">
      <x:c r="A21" s="6" t="str">
        <x:v>hunger_and_population</x:v>
      </x:c>
    </x:row>
    <x:row r="22">
      <x:c r="A22" s="6" t="str">
        <x:v>integrated_outcomes</x:v>
      </x:c>
    </x:row>
    <x:row r="23">
      <x:c r="A23" s="6" t="str">
        <x:v>external_validation_status</x:v>
      </x:c>
    </x:row>
    <x:row r="24">
      <x:c r="A24" s="6"/>
    </x:row>
    <x:row r="25">
      <x:c r="A25" s="6"/>
    </x:row>
    <x:row r="26">
      <x:c r="A26" s="6"/>
    </x:row>
    <x:row r="27">
      <x:c r="A27" s="6"/>
    </x:row>
    <x:row r="28">
      <x:c r="A28" s="6"/>
    </x:row>
    <x:row r="29">
      <x:c r="A29" s="6"/>
    </x:row>
    <x:row r="30">
      <x:c r="A30" s="6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8" hidden="0" customWidth="1"/>
    <x:col min="3" max="3" width="76" hidden="0" customWidth="1"/>
    <x:col min="4" max="4" width="32" hidden="0" customWidth="1"/>
  </x:cols>
  <x:sheetData>
    <x:row r="1">
      <x:c r="A1" s="190" t="str">
        <x:v>V57 source register</x:v>
      </x:c>
      <x:c r="B1" s="190"/>
      <x:c r="C1" s="190"/>
      <x:c r="D1" s="190"/>
    </x:row>
    <x:row r="3">
      <x:c r="A3" s="201" t="str">
        <x:v>Source</x:v>
      </x:c>
      <x:c r="B3" s="201" t="str">
        <x:v>V57 use</x:v>
      </x:c>
      <x:c r="C3" s="201" t="str">
        <x:v>URL / path</x:v>
      </x:c>
      <x:c r="D3" s="201" t="str">
        <x:v>Treatment</x:v>
      </x:c>
    </x:row>
    <x:row r="4">
      <x:c r="A4" s="6" t="str">
        <x:v>NOAA Global Monitoring Laboratory</x:v>
      </x:c>
      <x:c r="B4" s="6" t="str">
        <x:v>May 2026 global monthly CO₂ anchor, 428.73 ppm</x:v>
      </x:c>
      <x:c r="C4" s="6" t="str">
        <x:v>https://www.gml.noaa.gov/ccgg/trends/global.html</x:v>
      </x:c>
      <x:c r="D4" s="6" t="str">
        <x:v>Observed external reference</x:v>
      </x:c>
    </x:row>
    <x:row r="5">
      <x:c r="A5" s="6" t="str">
        <x:v>FaIR 2.2.4 calibrated constrained ensemble</x:v>
      </x:c>
      <x:c r="B5" s="6" t="str">
        <x:v>841-member external carbon-cycle/climate benchmark</x:v>
      </x:c>
      <x:c r="C5" s="6" t="str">
        <x:v>https://docs.fairmodel.net/en/latest/examples/calibrated_constrained_ensemble.html</x:v>
      </x:c>
      <x:c r="D5" s="6" t="str">
        <x:v>Primary archived external evidence</x:v>
      </x:c>
    </x:row>
    <x:row r="6">
      <x:c r="A6" s="6" t="str">
        <x:v>Stekoll et al. 2025</x:v>
      </x:c>
      <x:c r="B6" s="6" t="str">
        <x:v>Large-scale seaweed farmgate TEA; ~$250–300/dry t centered, ~$100 favorable</x:v>
      </x:c>
      <x:c r="C6" s="6" t="str">
        <x:v>https://doi.org/10.1111/jwas.70017</x:v>
      </x:c>
      <x:c r="D6" s="6" t="str">
        <x:v>Farmgate cost screen</x:v>
      </x:c>
    </x:row>
    <x:row r="7">
      <x:c r="A7" s="6" t="str">
        <x:v>Bach et al., Nature Plants</x:v>
      </x:c>
      <x:c r="B7" s="6" t="str">
        <x:v>Global seaweed production-cost context; $880/dry t median in lowest-cost 1% modeled ocean</x:v>
      </x:c>
      <x:c r="C7" s="6" t="str">
        <x:v>https://doi.org/10.1038/s41477-022-01305-9</x:v>
      </x:c>
      <x:c r="D7" s="6" t="str">
        <x:v>Stress/context cost screen</x:v>
      </x:c>
    </x:row>
    <x:row r="8">
      <x:c r="A8" s="6" t="str">
        <x:v>Anastasakis &amp; Ross 2011</x:v>
      </x:c>
      <x:c r="B8" s="6" t="str">
        <x:v>Macroalgae HTL mineral partition: K/Na mainly aqueous, Ca/Mg mainly residue</x:v>
      </x:c>
      <x:c r="C8" s="6" t="str">
        <x:v>https://doi.org/10.1016/j.biortech.2011.01.031</x:v>
      </x:c>
      <x:c r="D8" s="6" t="str">
        <x:v>Ash-fate engineering basis</x:v>
      </x:c>
    </x:row>
    <x:row r="9">
      <x:c r="A9" s="6" t="str">
        <x:v>V19 Grid Harvester workbook</x:v>
      </x:c>
      <x:c r="B9" s="6" t="str">
        <x:v>Physical harvesting cost/electricity lineage</x:v>
      </x:c>
      <x:c r="C9" s="6" t="str">
        <x:v>references/Los_Jardines_Integrated_Global_Model_v19.xlsx</x:v>
      </x:c>
      <x:c r="D9" s="6" t="str">
        <x:v>Historical engineering screen</x:v>
      </x:c>
    </x:row>
    <x:row r="10">
      <x:c r="A10" s="6" t="str">
        <x:v>V56 archived external results</x:v>
      </x:c>
      <x:c r="B10" s="6" t="str">
        <x:v>FaIR/Hector raw archived outputs</x:v>
      </x:c>
      <x:c r="C10" s="6" t="str">
        <x:v>external_validation_results/</x:v>
      </x:c>
      <x:c r="D10" s="6" t="str">
        <x:v>Current V57 evidence input</x:v>
      </x:c>
    </x:row>
    <x:row r="11">
      <x:c r="A11" s="6" t="str">
        <x:v>V57 attribution protocol</x:v>
      </x:c>
      <x:c r="B11" s="6" t="str">
        <x:v>Open official experiments and correct time-index convention</x:v>
      </x:c>
      <x:c r="C11" s="6" t="str">
        <x:v>external_validation_workflow/V57_ATTRIBUTION_PROTOCOL.md</x:v>
      </x:c>
      <x:c r="D11" s="6" t="str">
        <x:v>Reproducibility protocol</x:v>
      </x:c>
    </x:row>
  </x:sheetData>
  <x:mergeCells>
    <x:mergeCell ref="A1:D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6" hidden="0" customWidth="1"/>
    <x:col min="3" max="3" width="27" hidden="0" customWidth="1"/>
    <x:col min="4" max="4" width="8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  <x:c r="E1" s="229"/>
      <x:c r="F1" s="229"/>
      <x:c r="G1" s="229"/>
      <x:c r="H1" s="229"/>
    </x:row>
    <x:row r="3">
      <x:c r="A3" s="235" t="str">
        <x:v>Coral recovery requires two conditions: the biological capacity to regrow and a sufficiently long interval without another severe heat-driven bleaching/mortality event. The model therefore reports conditional recovery windows, not a single unconditional 'reef restored' year.</x:v>
      </x:c>
      <x:c r="B3" s="235"/>
      <x:c r="C3" s="235"/>
      <x:c r="D3" s="235"/>
      <x:c r="E3" s="235"/>
      <x:c r="F3" s="235"/>
      <x:c r="G3" s="235"/>
      <x:c r="H3" s="235"/>
    </x:row>
    <x:row r="5">
      <x:c r="A5" s="241" t="str">
        <x:v>Recovery endpoint</x:v>
      </x:c>
      <x:c r="B5" s="241" t="str">
        <x:v>Low</x:v>
      </x:c>
      <x:c r="C5" s="241" t="str">
        <x:v>Central</x:v>
      </x:c>
      <x:c r="D5" s="241" t="str">
        <x:v>High / interpretation</x:v>
      </x:c>
    </x:row>
    <x:row r="6">
      <x:c r="A6" s="6" t="str">
        <x:v>Surviving colony physiology/growth</x:v>
      </x:c>
      <x:c r="B6" s="6" t="str">
        <x:v>months</x:v>
      </x:c>
      <x:c r="C6" s="6" t="str">
        <x:v>—</x:v>
      </x:c>
      <x:c r="D6" s="6" t="str">
        <x:v>up to ~4 years of calcification impairment after bleaching</x:v>
      </x:c>
    </x:row>
    <x:row r="7">
      <x:c r="A7" s="6" t="str">
        <x:v>Hard-coral-cover re-establishment</x:v>
      </x:c>
      <x:c r="B7" s="6" t="n">
        <x:v>10</x:v>
      </x:c>
      <x:c r="C7" s="6" t="n">
        <x:v>12</x:v>
      </x:c>
      <x:c r="D7" s="6" t="n">
        <x:v>15</x:v>
      </x:c>
    </x:row>
    <x:row r="8">
      <x:c r="A8" s="6" t="str">
        <x:v>Conditional cover calendar if 2026 is thermal-safe</x:v>
      </x:c>
      <x:c r="B8" s="6" t="n">
        <x:v>2036</x:v>
      </x:c>
      <x:c r="C8" s="6" t="n">
        <x:v>2038</x:v>
      </x:c>
      <x:c r="D8" s="6" t="n">
        <x:v>2041</x:v>
      </x:c>
    </x:row>
    <x:row r="9">
      <x:c r="A9" s="6" t="str">
        <x:v>Ecological/community/structure screen</x:v>
      </x:c>
      <x:c r="B9" s="6" t="n">
        <x:v>15</x:v>
      </x:c>
      <x:c r="C9" s="6" t="n">
        <x:v>20</x:v>
      </x:c>
      <x:c r="D9" s="6" t="n">
        <x:v>30</x:v>
      </x:c>
    </x:row>
    <x:row r="10">
      <x:c r="A10" s="6" t="str">
        <x:v>Conditional ecological calendar if 2026 is thermal-safe</x:v>
      </x:c>
      <x:c r="B10" s="6" t="n">
        <x:v>2041</x:v>
      </x:c>
      <x:c r="C10" s="6" t="n">
        <x:v>2046</x:v>
      </x:c>
      <x:c r="D10" s="6" t="n">
        <x:v>2056</x:v>
      </x:c>
    </x:row>
    <x:row r="13">
      <x:c r="A13" s="241" t="str">
        <x:v>Thermal gate</x:v>
      </x:c>
      <x:c r="B13" s="241" t="str">
        <x:v>Value</x:v>
      </x:c>
      <x:c r="C13" s="241" t="str">
        <x:v>Unit/status</x:v>
      </x:c>
      <x:c r="D13" s="241" t="str">
        <x:v>Interpretation</x:v>
      </x:c>
    </x:row>
    <x:row r="14">
      <x:c r="A14" s="6" t="str">
        <x:v>Recent GBR mass-bleaching event years</x:v>
      </x:c>
      <x:c r="B14" s="6" t="str">
        <x:v>2016, 2017, 2020, 2022, 2024, 2025</x:v>
      </x:c>
      <x:c r="C14" s="6" t="str">
        <x:v>years</x:v>
      </x:c>
      <x:c r="D14" s="6" t="str">
        <x:v>Six listed mass bleaching events since 2016.</x:v>
      </x:c>
    </x:row>
    <x:row r="15">
      <x:c r="A15" s="6" t="str">
        <x:v>Mean event spacing</x:v>
      </x:c>
      <x:c r="B15" s="6" t="n">
        <x:v>1.8</x:v>
      </x:c>
      <x:c r="C15" s="6" t="str">
        <x:v>years</x:v>
      </x:c>
      <x:c r="D15" s="6" t="str">
        <x:v>Much shorter than 10–15 year typical cover recovery.</x:v>
      </x:c>
    </x:row>
    <x:row r="16">
      <x:c r="A16" s="6" t="str">
        <x:v>Typical cover recovery requires</x:v>
      </x:c>
      <x:c r="B16" s="6" t="str">
        <x:v>10–15</x:v>
      </x:c>
      <x:c r="C16" s="6" t="str">
        <x:v>low-disturbance years</x:v>
      </x:c>
      <x:c r="D16" s="6" t="str">
        <x:v>A new severe event can reset or extend the recovery clock.</x:v>
      </x:c>
    </x:row>
    <x:row r="17">
      <x:c r="A17" s="6" t="str">
        <x:v>Regional marine-heatwave module</x:v>
      </x:c>
      <x:c r="B17" s="6" t="str">
        <x:v>NOT PRESENT</x:v>
      </x:c>
      <x:c r="C17" s="6" t="str">
        <x:v>model status</x:v>
      </x:c>
      <x:c r="D17" s="6" t="str">
        <x:v>Global mean temperature cannot be directly converted into GBR Degree Heating Weeks.</x:v>
      </x:c>
    </x:row>
    <x:row r="18">
      <x:c r="A18" s="6" t="str">
        <x:v>Conditional V58 result</x:v>
      </x:c>
      <x:c r="B18" s="6" t="str">
        <x:v>2036–2041 cover; 2041–2056 ecological</x:v>
      </x:c>
      <x:c r="C18" s="6" t="str">
        <x:v>if 2026 starts durable safe period</x:v>
      </x:c>
      <x:c r="D18" s="6" t="str">
        <x:v>Not unconditional forecast.</x:v>
      </x:c>
    </x:row>
    <x:row r="21">
      <x:c r="A21" s="241" t="str">
        <x:v>Active restoration screen</x:v>
      </x:c>
      <x:c r="B21" s="241" t="str">
        <x:v>Value</x:v>
      </x:c>
      <x:c r="C21" s="241" t="str">
        <x:v>Status</x:v>
      </x:c>
      <x:c r="D21" s="241" t="str">
        <x:v>Interpretation</x:v>
      </x:c>
    </x:row>
    <x:row r="22">
      <x:c r="A22" t="str">
        <x:v>Local functional/accretion gain</x:v>
      </x:c>
      <x:c r="B22" t="str">
        <x:v>2–6 years</x:v>
      </x:c>
      <x:c r="C22" t="str">
        <x:v>LOCAL SCREEN</x:v>
      </x:c>
      <x:c r="D22" t="str">
        <x:v>Published restoration studies show local structural/accretion gains can emerge within a few years.</x:v>
      </x:c>
    </x:row>
    <x:row r="23">
      <x:c r="A23" t="str">
        <x:v>GBR-wide replacement for thermal stabilization</x:v>
      </x:c>
      <x:c r="B23" t="str">
        <x:v>NO</x:v>
      </x:c>
      <x:c r="C23" t="str">
        <x:v>guardrail</x:v>
      </x:c>
      <x:c r="D23" t="str">
        <x:v>Outplanting cannot offset repeated basin-scale heat mortality.</x:v>
      </x:c>
    </x:row>
    <x:row r="24">
      <x:c r="A24" t="str">
        <x:v>Publication rule</x:v>
      </x:c>
      <x:c r="B24" t="str">
        <x:v>Separate clocks</x:v>
      </x:c>
      <x:c r="C24" t="str">
        <x:v>required</x:v>
      </x:c>
      <x:c r="D24" t="str">
        <x:v>Do not report one GBR restoration year without a regional heat-stress model showing a long enough safe window.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8" hidden="0" customWidth="1"/>
    <x:col min="9" max="9" width="35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  <x:c r="E1" s="229"/>
      <x:c r="F1" s="229"/>
      <x:c r="G1" s="229"/>
      <x:c r="H1" s="229"/>
      <x:c r="I1" s="229"/>
    </x:row>
    <x:row r="4">
      <x:c r="A4" s="241" t="str">
        <x:v>region</x:v>
      </x:c>
      <x:c r="B4" s="241" t="str">
        <x:v>hard_coral_cover_2024_pct</x:v>
      </x:c>
      <x:c r="C4" s="241" t="str">
        <x:v>hard_coral_cover_2025_pct</x:v>
      </x:c>
      <x:c r="D4" s="241" t="str">
        <x:v>hard_coral_cover_2026_pct</x:v>
      </x:c>
      <x:c r="E4" s="241" t="str">
        <x:v>2026_gap_to_2024_percentage_points</x:v>
      </x:c>
      <x:c r="F4" s="241" t="str">
        <x:v>2026_relative_gap_to_2024_fraction</x:v>
      </x:c>
      <x:c r="G4" s="241" t="str">
        <x:v>observed_2025_to_2026_change_percentage_points</x:v>
      </x:c>
      <x:c r="H4" s="241" t="str">
        <x:v>one_year_linear_cover_return_screen_year</x:v>
      </x:c>
      <x:c r="I4" s="241" t="str">
        <x:v>linear_screen_status</x:v>
      </x:c>
    </x:row>
    <x:row r="5">
      <x:c r="A5" s="6" t="str">
        <x:v>Northern</x:v>
      </x:c>
      <x:c r="B5" s="6" t="n">
        <x:v>39.8</x:v>
      </x:c>
      <x:c r="C5" s="6" t="n">
        <x:v>30</x:v>
      </x:c>
      <x:c r="D5" s="6" t="n">
        <x:v>35.1</x:v>
      </x:c>
      <x:c r="E5" s="6" t="n">
        <x:v>4.699999999999996</x:v>
      </x:c>
      <x:c r="F5" s="6" t="n">
        <x:v>0.11809045226130643</x:v>
      </x:c>
      <x:c r="G5" s="6" t="n">
        <x:v>5.100000000000001</x:v>
      </x:c>
      <x:c r="H5" s="6" t="n">
        <x:v>2026.921568627451</x:v>
      </x:c>
      <x:c r="I5" s="6" t="str">
        <x:v>ONE_YEAR_TREND_EXTRAPOLATION_NOT_FORECAST</x:v>
      </x:c>
    </x:row>
    <x:row r="6">
      <x:c r="A6" s="6" t="str">
        <x:v>Central</x:v>
      </x:c>
      <x:c r="B6" s="6" t="n">
        <x:v>33.2</x:v>
      </x:c>
      <x:c r="C6" s="6" t="n">
        <x:v>28.6</x:v>
      </x:c>
      <x:c r="D6" s="6" t="n">
        <x:v>31.6</x:v>
      </x:c>
      <x:c r="E6" s="6" t="n">
        <x:v>1.6000000000000014</x:v>
      </x:c>
      <x:c r="F6" s="6" t="n">
        <x:v>0.04819277108433739</x:v>
      </x:c>
      <x:c r="G6" s="6" t="n">
        <x:v>3</x:v>
      </x:c>
      <x:c r="H6" s="6" t="n">
        <x:v>2026.5333333333333</x:v>
      </x:c>
      <x:c r="I6" s="6" t="str">
        <x:v>ONE_YEAR_TREND_EXTRAPOLATION_NOT_FORECAST</x:v>
      </x:c>
    </x:row>
    <x:row r="7">
      <x:c r="A7" s="6" t="str">
        <x:v>Southern</x:v>
      </x:c>
      <x:c r="B7" s="6" t="n">
        <x:v>38.9</x:v>
      </x:c>
      <x:c r="C7" s="6" t="n">
        <x:v>26.9</x:v>
      </x:c>
      <x:c r="D7" s="6" t="n">
        <x:v>26.4</x:v>
      </x:c>
      <x:c r="E7" s="6" t="n">
        <x:v>12.5</x:v>
      </x:c>
      <x:c r="F7" s="6" t="n">
        <x:v>0.3213367609254499</x:v>
      </x:c>
      <x:c r="G7" s="6" t="n">
        <x:v>-0.5</x:v>
      </x:c>
      <x:c r="H7" s="6"/>
      <x:c r="I7" s="6" t="str">
        <x:v>ONE_YEAR_TREND_EXTRAPOLATION_NOT_FORECAST</x:v>
      </x:c>
    </x:row>
    <x:row r="10">
      <x:c r="A10" s="244" t="str">
        <x:v>AIMS reports initial recovery in Northern/Central regions and near-stable/slightly lower cover in the Southern region after monsoon relief; current coral cover remains close to long-term averages overall.</x:v>
      </x:c>
      <x:c r="B10" s="244"/>
      <x:c r="C10" s="244"/>
      <x:c r="D10" s="244"/>
      <x:c r="E10" s="244"/>
      <x:c r="F10" s="244"/>
    </x:row>
    <x:row r="11">
      <x:c r="A11" s="244"/>
      <x:c r="B11" s="244"/>
      <x:c r="C11" s="244"/>
      <x:c r="D11" s="244"/>
      <x:c r="E11" s="244"/>
      <x:c r="F11" s="244"/>
    </x:row>
    <x:row r="12">
      <x:c r="A12" s="244"/>
      <x:c r="B12" s="244"/>
      <x:c r="C12" s="244"/>
      <x:c r="D12" s="244"/>
      <x:c r="E12" s="244"/>
      <x:c r="F12" s="244"/>
    </x:row>
  </x:sheetData>
  <x:mergeCells>
    <x:mergeCell ref="A1:I1"/>
    <x:mergeCell ref="A10:F12"/>
  </x:mergeCells>
  <x:pageMargins left="0.7" right="0.7" top="0.75" bottom="0.75" header="0.3" footer="0.3"/>
  <x:drawing xmlns:r="http://schemas.openxmlformats.org/officeDocument/2006/relationships" r:id="Rc170a1c36098443a"/>
</x:worksheet>
</file>

<file path=xl/worksheets/sheet6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72" hidden="0" customWidth="1"/>
    <x:col min="6" max="6" width="20" hidden="0" customWidth="1"/>
    <x:col min="7" max="7" width="20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  <x:c r="E1" s="229"/>
      <x:c r="F1" s="229"/>
      <x:c r="G1" s="229"/>
    </x:row>
    <x:row r="4">
      <x:c r="A4" s="241" t="str">
        <x:v>severe_bleaching_recurrence_interval_years</x:v>
      </x:c>
      <x:c r="B4" s="241" t="str">
        <x:v>typical_10y_cover_recovery_window_available</x:v>
      </x:c>
      <x:c r="C4" s="241" t="str">
        <x:v>conservative_15y_cover_recovery_window_available</x:v>
      </x:c>
      <x:c r="D4" s="241" t="str">
        <x:v>20y_ecological_recovery_screen_available</x:v>
      </x:c>
      <x:c r="E4" s="241" t="str">
        <x:v>interpretation</x:v>
      </x:c>
    </x:row>
    <x:row r="5">
      <x:c r="A5" s="6" t="n">
        <x:v>2</x:v>
      </x:c>
      <x:c r="B5" s="173" t="b">
        <x:v>0</x:v>
      </x:c>
      <x:c r="C5" s="173" t="b">
        <x:v>0</x:v>
      </x:c>
      <x:c r="D5" s="173" t="b">
        <x:v>0</x:v>
      </x:c>
      <x:c r="E5" s="6" t="str">
        <x:v>Repeated severe heat likely interrupts full coral-cover re-establishment</x:v>
      </x:c>
    </x:row>
    <x:row r="6">
      <x:c r="A6" s="6" t="n">
        <x:v>5</x:v>
      </x:c>
      <x:c r="B6" s="173" t="b">
        <x:v>0</x:v>
      </x:c>
      <x:c r="C6" s="173" t="b">
        <x:v>0</x:v>
      </x:c>
      <x:c r="D6" s="173" t="b">
        <x:v>0</x:v>
      </x:c>
      <x:c r="E6" s="6" t="str">
        <x:v>Repeated severe heat likely interrupts full coral-cover re-establishment</x:v>
      </x:c>
    </x:row>
    <x:row r="7">
      <x:c r="A7" s="6" t="n">
        <x:v>10</x:v>
      </x:c>
      <x:c r="B7" s="173" t="b">
        <x:v>1</x:v>
      </x:c>
      <x:c r="C7" s="173" t="b">
        <x:v>0</x:v>
      </x:c>
      <x:c r="D7" s="173" t="b">
        <x:v>0</x:v>
      </x:c>
      <x:c r="E7" s="6" t="str">
        <x:v>A lower-bound cover-recovery window may exist, but ecological/community recovery can still be interrupted</x:v>
      </x:c>
    </x:row>
    <x:row r="8">
      <x:c r="A8" s="6" t="n">
        <x:v>15</x:v>
      </x:c>
      <x:c r="B8" s="173" t="b">
        <x:v>1</x:v>
      </x:c>
      <x:c r="C8" s="173" t="b">
        <x:v>1</x:v>
      </x:c>
      <x:c r="D8" s="173" t="b">
        <x:v>0</x:v>
      </x:c>
      <x:c r="E8" s="6" t="str">
        <x:v>A lower-bound cover-recovery window may exist, but ecological/community recovery can still be interrupted</x:v>
      </x:c>
    </x:row>
    <x:row r="9">
      <x:c r="A9" s="6" t="n">
        <x:v>20</x:v>
      </x:c>
      <x:c r="B9" s="173" t="b">
        <x:v>1</x:v>
      </x:c>
      <x:c r="C9" s="173" t="b">
        <x:v>1</x:v>
      </x:c>
      <x:c r="D9" s="173" t="b">
        <x:v>1</x:v>
      </x:c>
      <x:c r="E9" s="6" t="str">
        <x:v>Both coral-cover and central ecological-recovery windows are physically available if local stressors are also controlled</x:v>
      </x:c>
    </x:row>
    <x:row r="10">
      <x:c r="A10" s="6" t="n">
        <x:v>30</x:v>
      </x:c>
      <x:c r="B10" s="173" t="b">
        <x:v>1</x:v>
      </x:c>
      <x:c r="C10" s="173" t="b">
        <x:v>1</x:v>
      </x:c>
      <x:c r="D10" s="173" t="b">
        <x:v>1</x:v>
      </x:c>
      <x:c r="E10" s="6" t="str">
        <x:v>Both coral-cover and central ecological-recovery windows are physically available if local stressors are also controlled</x:v>
      </x:c>
    </x:row>
    <x:row r="12">
      <x:c r="A12" s="235" t="str">
        <x:v>A recovery clock is meaningful only if severe thermal disturbances become less frequent than the biological recovery time. Recent GBR mass-bleaching event spacing is far shorter than the 10-15 year typical re-establishment window, so whole-system restoration cannot be assumed simply because one cooler year occurs.</x:v>
      </x:c>
      <x:c r="B12" s="235"/>
      <x:c r="C12" s="235"/>
      <x:c r="D12" s="235"/>
      <x:c r="E12" s="235"/>
      <x:c r="F12" s="235"/>
    </x:row>
    <x:row r="13">
      <x:c r="A13" s="235"/>
      <x:c r="B13" s="235"/>
      <x:c r="C13" s="235"/>
      <x:c r="D13" s="235"/>
      <x:c r="E13" s="235"/>
      <x:c r="F13" s="235"/>
    </x:row>
    <x:row r="14">
      <x:c r="A14" s="235"/>
      <x:c r="B14" s="235"/>
      <x:c r="C14" s="235"/>
      <x:c r="D14" s="235"/>
      <x:c r="E14" s="235"/>
      <x:c r="F14" s="235"/>
    </x:row>
    <x:row r="15">
      <x:c r="A15" s="235"/>
      <x:c r="B15" s="235"/>
      <x:c r="C15" s="235"/>
      <x:c r="D15" s="235"/>
      <x:c r="E15" s="235"/>
      <x:c r="F15" s="235"/>
    </x:row>
  </x:sheetData>
  <x:mergeCells>
    <x:mergeCell ref="A1:G1"/>
    <x:mergeCell ref="A12:F15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6" hidden="0" customWidth="1"/>
    <x:col min="8" max="8" width="7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  <x:c r="E1" s="229"/>
      <x:c r="F1" s="229"/>
      <x:c r="G1" s="229"/>
      <x:c r="H1" s="229"/>
    </x:row>
    <x:row r="3">
      <x:c r="A3" s="244" t="str">
        <x:v>The cumulative curve is the primary diagnostic because it avoids arbitrary interval selection. The rolling 20-year fraction is secondary and shows the late canonical slowdown. Values are pathwise diagnostics, not a universal marginal derivative or a FaIR inversion.</x:v>
      </x:c>
      <x:c r="B3" s="244"/>
      <x:c r="C3" s="244"/>
      <x:c r="D3" s="244"/>
      <x:c r="E3" s="244"/>
      <x:c r="F3" s="244"/>
      <x:c r="G3" s="244"/>
      <x:c r="H3" s="244"/>
    </x:row>
    <x:row r="5">
      <x:c r="A5" s="241" t="str">
        <x:v>emissions_through_year</x:v>
      </x:c>
      <x:c r="B5" s="241" t="str">
        <x:v>fair_timebound_after_flux</x:v>
      </x:c>
      <x:c r="C5" s="241" t="str">
        <x:v>cumulative_net_removal_gtco2</x:v>
      </x:c>
      <x:c r="D5" s="241" t="str">
        <x:v>fair_p50_cumulative_drawdown_ppm</x:v>
      </x:c>
      <x:c r="E5" s="241" t="str">
        <x:v>atmospheric_mass_decrease_equivalent_gtco2</x:v>
      </x:c>
      <x:c r="F5" s="241" t="str">
        <x:v>cumulative_apparent_atmospheric_response_fraction</x:v>
      </x:c>
    </x:row>
    <x:row r="6">
      <x:c r="A6" s="6" t="n">
        <x:v>2040</x:v>
      </x:c>
      <x:c r="B6" s="6" t="n">
        <x:v>2041</x:v>
      </x:c>
      <x:c r="C6" s="6" t="n">
        <x:v>9.301108310605573</x:v>
      </x:c>
      <x:c r="D6" s="6" t="n">
        <x:v>3.5610180994659686</x:v>
      </x:c>
      <x:c r="E6" s="6" t="n">
        <x:v>27.669110632850575</x:v>
      </x:c>
      <x:c r="F6" s="6" t="n">
        <x:v>2.9748186677173645</x:v>
      </x:c>
    </x:row>
    <x:row r="7">
      <x:c r="A7" s="6" t="n">
        <x:v>2050</x:v>
      </x:c>
      <x:c r="B7" s="6" t="n">
        <x:v>2051</x:v>
      </x:c>
      <x:c r="C7" s="6" t="n">
        <x:v>131.09864651625324</x:v>
      </x:c>
      <x:c r="D7" s="6" t="n">
        <x:v>22.778500440760922</x:v>
      </x:c>
      <x:c r="E7" s="6" t="n">
        <x:v>176.98894842471236</x:v>
      </x:c>
      <x:c r="F7" s="6" t="n">
        <x:v>1.3500440555865676</x:v>
      </x:c>
    </x:row>
    <x:row r="8">
      <x:c r="A8" s="6" t="n">
        <x:v>2060</x:v>
      </x:c>
      <x:c r="B8" s="6" t="n">
        <x:v>2061</x:v>
      </x:c>
      <x:c r="C8" s="6" t="n">
        <x:v>262.6501289410859</x:v>
      </x:c>
      <x:c r="D8" s="6" t="n">
        <x:v>37.43963971338991</x:v>
      </x:c>
      <x:c r="E8" s="6" t="n">
        <x:v>290.9060005730396</x:v>
      </x:c>
      <x:c r="F8" s="6" t="n">
        <x:v>1.1075798886749897</x:v>
      </x:c>
    </x:row>
    <x:row r="9">
      <x:c r="A9" s="6" t="n">
        <x:v>2070</x:v>
      </x:c>
      <x:c r="B9" s="6" t="n">
        <x:v>2071</x:v>
      </x:c>
      <x:c r="C9" s="6" t="n">
        <x:v>393.8753720537956</x:v>
      </x:c>
      <x:c r="D9" s="6" t="n">
        <x:v>49.433731305137485</x:v>
      </x:c>
      <x:c r="E9" s="6" t="n">
        <x:v>384.10009224091823</x:v>
      </x:c>
      <x:c r="F9" s="6" t="n">
        <x:v>0.9751817947847161</x:v>
      </x:c>
    </x:row>
    <x:row r="10">
      <x:c r="A10" s="6" t="n">
        <x:v>2080</x:v>
      </x:c>
      <x:c r="B10" s="6" t="n">
        <x:v>2081</x:v>
      </x:c>
      <x:c r="C10" s="6" t="n">
        <x:v>524.7833865503895</x:v>
      </x:c>
      <x:c r="D10" s="6" t="n">
        <x:v>59.926375767516504</x:v>
      </x:c>
      <x:c r="E10" s="6" t="n">
        <x:v>465.6279397136032</x:v>
      </x:c>
      <x:c r="F10" s="6" t="n">
        <x:v>0.887276449001866</x:v>
      </x:c>
    </x:row>
    <x:row r="11">
      <x:c r="A11" s="6" t="n">
        <x:v>2090</x:v>
      </x:c>
      <x:c r="B11" s="6" t="n">
        <x:v>2091</x:v>
      </x:c>
      <x:c r="C11" s="6" t="n">
        <x:v>655.386249312158</x:v>
      </x:c>
      <x:c r="D11" s="6" t="n">
        <x:v>69.4895970657621</x:v>
      </x:c>
      <x:c r="E11" s="6" t="n">
        <x:v>539.9341692009715</x:v>
      </x:c>
      <x:c r="F11" s="6" t="n">
        <x:v>0.82384116201346</x:v>
      </x:c>
    </x:row>
    <x:row r="12">
      <x:c r="A12" s="6" t="n">
        <x:v>2100</x:v>
      </x:c>
      <x:c r="B12" s="6" t="n">
        <x:v>2101</x:v>
      </x:c>
      <x:c r="C12" s="6" t="n">
        <x:v>785.7021191565154</x:v>
      </x:c>
      <x:c r="D12" s="6" t="n">
        <x:v>78.38925743988631</x:v>
      </x:c>
      <x:c r="E12" s="6" t="n">
        <x:v>609.0845303079166</x:v>
      </x:c>
      <x:c r="F12" s="6" t="n">
        <x:v>0.7752104970288163</x:v>
      </x:c>
    </x:row>
    <x:row r="13">
      <x:c r="A13" s="6" t="n">
        <x:v>2110</x:v>
      </x:c>
      <x:c r="B13" s="6" t="n">
        <x:v>2111</x:v>
      </x:c>
      <x:c r="C13" s="6" t="n">
        <x:v>915.7545084466773</x:v>
      </x:c>
      <x:c r="D13" s="6" t="n">
        <x:v>86.80404008847802</x:v>
      </x:c>
      <x:c r="E13" s="6" t="n">
        <x:v>674.4673914874742</x:v>
      </x:c>
      <x:c r="F13" s="6" t="n">
        <x:v>0.7365155019891962</x:v>
      </x:c>
    </x:row>
    <x:row r="14">
      <x:c r="A14" s="6" t="n">
        <x:v>2120</x:v>
      </x:c>
      <x:c r="B14" s="6" t="n">
        <x:v>2121</x:v>
      </x:c>
      <x:c r="C14" s="6" t="n">
        <x:v>1045.56927939647</x:v>
      </x:c>
      <x:c r="D14" s="6" t="n">
        <x:v>94.77936357840929</x:v>
      </x:c>
      <x:c r="E14" s="6" t="n">
        <x:v>736.4356550042402</x:v>
      </x:c>
      <x:c r="F14" s="6" t="n">
        <x:v>0.7043394153941958</x:v>
      </x:c>
    </x:row>
    <x:row r="15">
      <x:c r="A15" s="6" t="n">
        <x:v>2130</x:v>
      </x:c>
      <x:c r="B15" s="6" t="n">
        <x:v>2131</x:v>
      </x:c>
      <x:c r="C15" s="6" t="n">
        <x:v>1175.070741178139</x:v>
      </x:c>
      <x:c r="D15" s="6" t="n">
        <x:v>102.3591321231944</x:v>
      </x:c>
      <x:c r="E15" s="6" t="n">
        <x:v>795.3304565972204</x:v>
      </x:c>
      <x:c r="F15" s="6" t="n">
        <x:v>0.6768362352378999</x:v>
      </x:c>
    </x:row>
    <x:row r="16">
      <x:c r="A16" s="6" t="n">
        <x:v>2140</x:v>
      </x:c>
      <x:c r="B16" s="6" t="n">
        <x:v>2141</x:v>
      </x:c>
      <x:c r="C16" s="6" t="n">
        <x:v>1304.089843208095</x:v>
      </x:c>
      <x:c r="D16" s="6" t="n">
        <x:v>109.53549773088906</x:v>
      </x:c>
      <x:c r="E16" s="6" t="n">
        <x:v>851.0908173690079</x:v>
      </x:c>
      <x:c r="F16" s="6" t="n">
        <x:v>0.6526320420342376</x:v>
      </x:c>
    </x:row>
    <x:row r="17">
      <x:c r="A17" s="6" t="n">
        <x:v>2150</x:v>
      </x:c>
      <x:c r="B17" s="6" t="n">
        <x:v>2151</x:v>
      </x:c>
      <x:c r="C17" s="6" t="n">
        <x:v>1432.6213259331869</x:v>
      </x:c>
      <x:c r="D17" s="6" t="n">
        <x:v>116.3753383438193</x:v>
      </x:c>
      <x:c r="E17" s="6" t="n">
        <x:v>904.2363789314759</x:v>
      </x:c>
      <x:c r="F17" s="6" t="n">
        <x:v>0.6311761262819892</x:v>
      </x:c>
    </x:row>
    <x:row r="18">
      <x:c r="A18" s="6" t="n">
        <x:v>2160</x:v>
      </x:c>
      <x:c r="B18" s="6" t="n">
        <x:v>2161</x:v>
      </x:c>
      <x:c r="C18" s="6" t="n">
        <x:v>1523.9858330946286</x:v>
      </x:c>
      <x:c r="D18" s="6" t="n">
        <x:v>119.4048254494412</x:v>
      </x:c>
      <x:c r="E18" s="6" t="n">
        <x:v>927.7754937421581</x:v>
      </x:c>
      <x:c r="F18" s="6" t="n">
        <x:v>0.6087822298572181</x:v>
      </x:c>
    </x:row>
    <x:row r="19">
      <x:c r="A19" s="6" t="n">
        <x:v>2170</x:v>
      </x:c>
      <x:c r="B19" s="6" t="n">
        <x:v>2171</x:v>
      </x:c>
      <x:c r="C19" s="6" t="n">
        <x:v>1562.5665207113263</x:v>
      </x:c>
      <x:c r="D19" s="6" t="n">
        <x:v>119.38013448933657</x:v>
      </x:c>
      <x:c r="E19" s="6" t="n">
        <x:v>927.5836449821451</x:v>
      </x:c>
      <x:c r="F19" s="6" t="n">
        <x:v>0.5936282601011327</x:v>
      </x:c>
    </x:row>
    <x:row r="20">
      <x:c r="A20" s="6" t="n">
        <x:v>2180</x:v>
      </x:c>
      <x:c r="B20" s="6" t="n">
        <x:v>2181</x:v>
      </x:c>
      <x:c r="C20" s="6" t="n">
        <x:v>1595.4801693380668</x:v>
      </x:c>
      <x:c r="D20" s="6" t="n">
        <x:v>119.78077031836551</x:v>
      </x:c>
      <x:c r="E20" s="6" t="n">
        <x:v>930.6965853737</x:v>
      </x:c>
      <x:c r="F20" s="6" t="n">
        <x:v>0.5833332204685613</x:v>
      </x:c>
    </x:row>
    <x:row r="21">
      <x:c r="A21" s="6" t="n">
        <x:v>2183</x:v>
      </x:c>
      <x:c r="B21" s="6" t="n">
        <x:v>2184</x:v>
      </x:c>
      <x:c r="C21" s="6" t="n">
        <x:v>1604.2805877768903</x:v>
      </x:c>
      <x:c r="D21" s="6" t="n">
        <x:v>119.94003795994684</x:v>
      </x:c>
      <x:c r="E21" s="6" t="n">
        <x:v>931.9340949487869</x:v>
      </x:c>
      <x:c r="F21" s="6" t="n">
        <x:v>0.5809046759334049</x:v>
      </x:c>
    </x:row>
    <x:row r="23">
      <x:c r="A23" s="241" t="str">
        <x:v>Current sink-response headline</x:v>
      </x:c>
      <x:c r="B23" s="241" t="str">
        <x:v>Value</x:v>
      </x:c>
      <x:c r="C23" s="241" t="str">
        <x:v>Unit/status</x:v>
      </x:c>
      <x:c r="D23" s="241" t="str">
        <x:v>Interpretation</x:v>
      </x:c>
      <x:c r="E23" s="241"/>
    </x:row>
    <x:row r="24">
      <x:c r="A24" t="str">
        <x:v>Canonical cumulative apparent response</x:v>
      </x:c>
      <x:c r="B24" t="n">
        <x:v>58.1</x:v>
      </x:c>
      <x:c r="C24" t="str">
        <x:v>%</x:v>
      </x:c>
      <x:c r="D24" t="str">
        <x:v>Across the canonical financed negative-net-CO₂ period through 2183.</x:v>
      </x:c>
    </x:row>
    <x:row r="25">
      <x:c r="A25" t="str">
        <x:v>Last 20-year canonical apparent response</x:v>
      </x:c>
      <x:c r="B25" t="n">
        <x:v>8.9</x:v>
      </x:c>
      <x:c r="C25" t="str">
        <x:v>%</x:v>
      </x:c>
      <x:c r="D25" t="str">
        <x:v>Rolling secondary diagnostic; shows strong late slowdown.</x:v>
      </x:c>
    </x:row>
    <x:row r="26">
      <x:c r="A26" t="str">
        <x:v>Old V57 21% extension-regime headline</x:v>
      </x:c>
      <x:c r="B26" t="str">
        <x:v>REMOVED</x:v>
      </x:c>
      <x:c r="C26" t="str">
        <x:v>status</x:v>
      </x:c>
      <x:c r="D26" t="str">
        <x:v>Derived wholly from post-canonical constant-flux extension; no longer a current headline.</x:v>
      </x:c>
    </x:row>
    <x:row r="27">
      <x:c r="A27" t="str">
        <x:v>FaIR inversion</x:v>
      </x:c>
      <x:c r="B27" t="str">
        <x:v>OPEN</x:v>
      </x:c>
      <x:c r="C27" t="str">
        <x:v>external run</x:v>
      </x:c>
      <x:c r="D27" t="str">
        <x:v>The curve is diagnostic only; it does not solve the removal schedule required for 280 ppm.</x:v>
      </x:c>
    </x:row>
  </x:sheetData>
  <x:mergeCells>
    <x:mergeCell ref="A1:H1"/>
    <x:mergeCell ref="A3:H3"/>
  </x:mergeCells>
  <x:pageMargins left="0.7" right="0.7" top="0.75" bottom="0.75" header="0.3" footer="0.3"/>
  <x:drawing xmlns:r="http://schemas.openxmlformats.org/officeDocument/2006/relationships" r:id="R39d046841abd4aa1"/>
</x:worksheet>
</file>

<file path=xl/worksheets/sheet7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  <x:c r="E1" s="229"/>
      <x:c r="F1" s="229"/>
      <x:c r="G1" s="229"/>
      <x:c r="H1" s="229"/>
    </x:row>
    <x:row r="4">
      <x:c r="A4" s="241" t="str">
        <x:v>window_start_emissions_year</x:v>
      </x:c>
      <x:c r="B4" s="241" t="str">
        <x:v>window_end_emissions_year</x:v>
      </x:c>
      <x:c r="C4" s="241" t="str">
        <x:v>fair_start_timebound</x:v>
      </x:c>
      <x:c r="D4" s="241" t="str">
        <x:v>fair_end_timebound</x:v>
      </x:c>
      <x:c r="E4" s="241" t="str">
        <x:v>window_net_removal_gtco2</x:v>
      </x:c>
      <x:c r="F4" s="241" t="str">
        <x:v>window_fair_p50_drawdown_ppm</x:v>
      </x:c>
      <x:c r="G4" s="241" t="str">
        <x:v>rolling_20y_apparent_atmospheric_response_fraction</x:v>
      </x:c>
    </x:row>
    <x:row r="5">
      <x:c r="A5" s="6" t="n">
        <x:v>2041</x:v>
      </x:c>
      <x:c r="B5" s="6" t="n">
        <x:v>2060</x:v>
      </x:c>
      <x:c r="C5" s="6" t="n">
        <x:v>2041</x:v>
      </x:c>
      <x:c r="D5" s="6" t="n">
        <x:v>2061</x:v>
      </x:c>
      <x:c r="E5" s="6" t="n">
        <x:v>253.34902063048028</x:v>
      </x:c>
      <x:c r="F5" s="6" t="n">
        <x:v>33.87862161392394</x:v>
      </x:c>
      <x:c r="G5" s="6" t="n">
        <x:v>1.0390286462726475</x:v>
      </x:c>
    </x:row>
    <x:row r="6">
      <x:c r="A6" s="6" t="n">
        <x:v>2051</x:v>
      </x:c>
      <x:c r="B6" s="6" t="n">
        <x:v>2070</x:v>
      </x:c>
      <x:c r="C6" s="6" t="n">
        <x:v>2051</x:v>
      </x:c>
      <x:c r="D6" s="6" t="n">
        <x:v>2071</x:v>
      </x:c>
      <x:c r="E6" s="6" t="n">
        <x:v>262.77672553754223</x:v>
      </x:c>
      <x:c r="F6" s="6" t="n">
        <x:v>26.655230864376563</x:v>
      </x:c>
      <x:c r="G6" s="6" t="n">
        <x:v>0.7881639570343776</x:v>
      </x:c>
    </x:row>
    <x:row r="7">
      <x:c r="A7" s="6" t="n">
        <x:v>2061</x:v>
      </x:c>
      <x:c r="B7" s="6" t="n">
        <x:v>2080</x:v>
      </x:c>
      <x:c r="C7" s="6" t="n">
        <x:v>2061</x:v>
      </x:c>
      <x:c r="D7" s="6" t="n">
        <x:v>2081</x:v>
      </x:c>
      <x:c r="E7" s="6" t="n">
        <x:v>262.13325760930366</x:v>
      </x:c>
      <x:c r="F7" s="6" t="n">
        <x:v>22.486736054126595</x:v>
      </x:c>
      <x:c r="G7" s="6" t="n">
        <x:v>0.6665386175491621</x:v>
      </x:c>
    </x:row>
    <x:row r="8">
      <x:c r="A8" s="6" t="n">
        <x:v>2071</x:v>
      </x:c>
      <x:c r="B8" s="6" t="n">
        <x:v>2090</x:v>
      </x:c>
      <x:c r="C8" s="6" t="n">
        <x:v>2071</x:v>
      </x:c>
      <x:c r="D8" s="6" t="n">
        <x:v>2091</x:v>
      </x:c>
      <x:c r="E8" s="6" t="n">
        <x:v>261.5108772583626</x:v>
      </x:c>
      <x:c r="F8" s="6" t="n">
        <x:v>20.055865760624613</x:v>
      </x:c>
      <x:c r="G8" s="6" t="n">
        <x:v>0.5958990256688069</x:v>
      </x:c>
    </x:row>
    <x:row r="9">
      <x:c r="A9" s="6" t="n">
        <x:v>2081</x:v>
      </x:c>
      <x:c r="B9" s="6" t="n">
        <x:v>2100</x:v>
      </x:c>
      <x:c r="C9" s="6" t="n">
        <x:v>2081</x:v>
      </x:c>
      <x:c r="D9" s="6" t="n">
        <x:v>2101</x:v>
      </x:c>
      <x:c r="E9" s="6" t="n">
        <x:v>260.91873260612573</x:v>
      </x:c>
      <x:c r="F9" s="6" t="n">
        <x:v>18.462881672369804</x:v>
      </x:c>
      <x:c r="G9" s="6" t="n">
        <x:v>0.549813304554375</x:v>
      </x:c>
    </x:row>
    <x:row r="10">
      <x:c r="A10" s="6" t="n">
        <x:v>2091</x:v>
      </x:c>
      <x:c r="B10" s="6" t="n">
        <x:v>2110</x:v>
      </x:c>
      <x:c r="C10" s="6" t="n">
        <x:v>2091</x:v>
      </x:c>
      <x:c r="D10" s="6" t="n">
        <x:v>2111</x:v>
      </x:c>
      <x:c r="E10" s="6" t="n">
        <x:v>260.3682591345192</x:v>
      </x:c>
      <x:c r="F10" s="6" t="n">
        <x:v>17.31444302271592</x:v>
      </x:c>
      <x:c r="G10" s="6" t="n">
        <x:v>0.5167036209932032</x:v>
      </x:c>
    </x:row>
    <x:row r="11">
      <x:c r="A11" s="6" t="n">
        <x:v>2101</x:v>
      </x:c>
      <x:c r="B11" s="6" t="n">
        <x:v>2120</x:v>
      </x:c>
      <x:c r="C11" s="6" t="n">
        <x:v>2101</x:v>
      </x:c>
      <x:c r="D11" s="6" t="n">
        <x:v>2121</x:v>
      </x:c>
      <x:c r="E11" s="6" t="n">
        <x:v>259.86716023995444</x:v>
      </x:c>
      <x:c r="F11" s="6" t="n">
        <x:v>16.39010613852298</x:v>
      </x:c>
      <x:c r="G11" s="6" t="n">
        <x:v>0.4900624018007158</x:v>
      </x:c>
    </x:row>
    <x:row r="12">
      <x:c r="A12" s="6" t="n">
        <x:v>2111</x:v>
      </x:c>
      <x:c r="B12" s="6" t="n">
        <x:v>2130</x:v>
      </x:c>
      <x:c r="C12" s="6" t="n">
        <x:v>2111</x:v>
      </x:c>
      <x:c r="D12" s="6" t="n">
        <x:v>2131</x:v>
      </x:c>
      <x:c r="E12" s="6" t="n">
        <x:v>259.31623273146147</x:v>
      </x:c>
      <x:c r="F12" s="6" t="n">
        <x:v>15.555092034716381</x:v>
      </x:c>
      <x:c r="G12" s="6" t="n">
        <x:v>0.4660836841437061</x:v>
      </x:c>
    </x:row>
    <x:row r="13">
      <x:c r="A13" s="6" t="n">
        <x:v>2121</x:v>
      </x:c>
      <x:c r="B13" s="6" t="n">
        <x:v>2140</x:v>
      </x:c>
      <x:c r="C13" s="6" t="n">
        <x:v>2121</x:v>
      </x:c>
      <x:c r="D13" s="6" t="n">
        <x:v>2141</x:v>
      </x:c>
      <x:c r="E13" s="6" t="n">
        <x:v>258.52056381162527</x:v>
      </x:c>
      <x:c r="F13" s="6" t="n">
        <x:v>14.756134152479774</x:v>
      </x:c>
      <x:c r="G13" s="6" t="n">
        <x:v>0.4435049988840074</x:v>
      </x:c>
    </x:row>
    <x:row r="14">
      <x:c r="A14" s="6" t="n">
        <x:v>2131</x:v>
      </x:c>
      <x:c r="B14" s="6" t="n">
        <x:v>2150</x:v>
      </x:c>
      <x:c r="C14" s="6" t="n">
        <x:v>2131</x:v>
      </x:c>
      <x:c r="D14" s="6" t="n">
        <x:v>2151</x:v>
      </x:c>
      <x:c r="E14" s="6" t="n">
        <x:v>257.550584755048</x:v>
      </x:c>
      <x:c r="F14" s="6" t="n">
        <x:v>14.016206220624895</x:v>
      </x:c>
      <x:c r="G14" s="6" t="n">
        <x:v>0.42285255317060916</x:v>
      </x:c>
    </x:row>
    <x:row r="15">
      <x:c r="A15" s="6" t="n">
        <x:v>2141</x:v>
      </x:c>
      <x:c r="B15" s="6" t="n">
        <x:v>2160</x:v>
      </x:c>
      <x:c r="C15" s="6" t="n">
        <x:v>2141</x:v>
      </x:c>
      <x:c r="D15" s="6" t="n">
        <x:v>2161</x:v>
      </x:c>
      <x:c r="E15" s="6" t="n">
        <x:v>219.89598988653333</x:v>
      </x:c>
      <x:c r="F15" s="6" t="n">
        <x:v>9.869327718552142</x:v>
      </x:c>
      <x:c r="G15" s="6" t="n">
        <x:v>0.34873158174789615</x:v>
      </x:c>
    </x:row>
    <x:row r="16">
      <x:c r="A16" s="6" t="n">
        <x:v>2151</x:v>
      </x:c>
      <x:c r="B16" s="6" t="n">
        <x:v>2170</x:v>
      </x:c>
      <x:c r="C16" s="6" t="n">
        <x:v>2151</x:v>
      </x:c>
      <x:c r="D16" s="6" t="n">
        <x:v>2171</x:v>
      </x:c>
      <x:c r="E16" s="6" t="n">
        <x:v>129.945194778139</x:v>
      </x:c>
      <x:c r="F16" s="6" t="n">
        <x:v>3.0047961455172754</x:v>
      </x:c>
      <x:c r="G16" s="6" t="n">
        <x:v>0.17967009931018238</x:v>
      </x:c>
    </x:row>
    <x:row r="17">
      <x:c r="A17" s="6" t="n">
        <x:v>2161</x:v>
      </x:c>
      <x:c r="B17" s="6" t="n">
        <x:v>2180</x:v>
      </x:c>
      <x:c r="C17" s="6" t="n">
        <x:v>2161</x:v>
      </x:c>
      <x:c r="D17" s="6" t="n">
        <x:v>2181</x:v>
      </x:c>
      <x:c r="E17" s="6" t="n">
        <x:v>71.49433624343828</x:v>
      </x:c>
      <x:c r="F17" s="6" t="n">
        <x:v>0.37594486892430723</x:v>
      </x:c>
      <x:c r="G17" s="6" t="n">
        <x:v>0.04085766488684568</x:v>
      </x:c>
    </x:row>
    <x:row r="18">
      <x:c r="A18" s="6" t="n">
        <x:v>2164</x:v>
      </x:c>
      <x:c r="B18" s="6" t="n">
        <x:v>2183</x:v>
      </x:c>
      <x:c r="C18" s="6" t="n">
        <x:v>2164</x:v>
      </x:c>
      <x:c r="D18" s="6" t="n">
        <x:v>2184</x:v>
      </x:c>
      <x:c r="E18" s="6" t="n">
        <x:v>69.18870350706916</x:v>
      </x:c>
      <x:c r="F18" s="6" t="n">
        <x:v>0.7891190975909694</x:v>
      </x:c>
      <x:c r="G18" s="6" t="n">
        <x:v>0.08861931323305354</x:v>
      </x:c>
    </x:row>
    <x:row r="21">
      <x:c r="A21" s="235" t="str">
        <x:v>This is a pathwise secondary diagnostic, not a universal sink efficiency. Its decline reflects the evolving carbon-cycle state and the changing removal trajectory.</x:v>
      </x:c>
      <x:c r="B21" s="235"/>
      <x:c r="C21" s="235"/>
      <x:c r="D21" s="235"/>
      <x:c r="E21" s="235"/>
      <x:c r="F21" s="235"/>
    </x:row>
    <x:row r="22">
      <x:c r="A22" s="235"/>
      <x:c r="B22" s="235"/>
      <x:c r="C22" s="235"/>
      <x:c r="D22" s="235"/>
      <x:c r="E22" s="235"/>
      <x:c r="F22" s="235"/>
    </x:row>
    <x:row r="23">
      <x:c r="A23" s="235"/>
      <x:c r="B23" s="235"/>
      <x:c r="C23" s="235"/>
      <x:c r="D23" s="235"/>
      <x:c r="E23" s="235"/>
      <x:c r="F23" s="235"/>
    </x:row>
    <x:row r="24">
      <x:c r="A24" s="235"/>
      <x:c r="B24" s="235"/>
      <x:c r="C24" s="235"/>
      <x:c r="D24" s="235"/>
      <x:c r="E24" s="235"/>
      <x:c r="F24" s="235"/>
    </x:row>
  </x:sheetData>
  <x:mergeCells>
    <x:mergeCell ref="A1:H1"/>
    <x:mergeCell ref="A21:F24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7" hidden="0" customWidth="1"/>
    <x:col min="4" max="4" width="7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  <x:c r="E1" s="229"/>
      <x:c r="F1" s="229"/>
      <x:c r="G1" s="229"/>
      <x:c r="H1" s="229"/>
    </x:row>
    <x:row r="4">
      <x:c r="A4" s="241" t="str">
        <x:v>allocation_stream</x:v>
      </x:c>
      <x:c r="B4" s="241" t="str">
        <x:v>allocation_share</x:v>
      </x:c>
      <x:c r="C4" s="241" t="str">
        <x:v>dry_biomass_mt_yr</x:v>
      </x:c>
      <x:c r="D4" s="241" t="str">
        <x:v>ash_mt_yr</x:v>
      </x:c>
      <x:c r="E4" s="241" t="str">
        <x:v>ash_free_organic_mt_yr</x:v>
      </x:c>
    </x:row>
    <x:row r="5">
      <x:c r="A5" s="6" t="str">
        <x:v>food</x:v>
      </x:c>
      <x:c r="B5" s="6" t="n">
        <x:v>0.05</x:v>
      </x:c>
      <x:c r="C5" s="6" t="n">
        <x:v>12.628571428571428</x:v>
      </x:c>
      <x:c r="D5" s="6" t="n">
        <x:v>3.157142857142857</x:v>
      </x:c>
      <x:c r="E5" s="6" t="n">
        <x:v>9.471428571428572</x:v>
      </x:c>
    </x:row>
    <x:row r="6">
      <x:c r="A6" s="6" t="str">
        <x:v>fuel_feedstock</x:v>
      </x:c>
      <x:c r="B6" s="6" t="n">
        <x:v>0.8</x:v>
      </x:c>
      <x:c r="C6" s="6" t="n">
        <x:v>202.05714285714285</x:v>
      </x:c>
      <x:c r="D6" s="6" t="n">
        <x:v>50.51428571428571</x:v>
      </x:c>
      <x:c r="E6" s="6" t="n">
        <x:v>151.54285714285714</x:v>
      </x:c>
    </x:row>
    <x:row r="7">
      <x:c r="A7" s="6" t="str">
        <x:v>durable_storage</x:v>
      </x:c>
      <x:c r="B7" s="6" t="n">
        <x:v>0.1</x:v>
      </x:c>
      <x:c r="C7" s="6" t="n">
        <x:v>25.257142857142856</x:v>
      </x:c>
      <x:c r="D7" s="6" t="n">
        <x:v>6.314285714285714</x:v>
      </x:c>
      <x:c r="E7" s="6" t="n">
        <x:v>18.942857142857143</x:v>
      </x:c>
    </x:row>
    <x:row r="8">
      <x:c r="A8" s="6" t="str">
        <x:v>materials_feed</x:v>
      </x:c>
      <x:c r="B8" s="6" t="n">
        <x:v>0.05</x:v>
      </x:c>
      <x:c r="C8" s="6" t="n">
        <x:v>12.628571428571428</x:v>
      </x:c>
      <x:c r="D8" s="6" t="n">
        <x:v>3.157142857142857</x:v>
      </x:c>
      <x:c r="E8" s="6" t="n">
        <x:v>9.471428571428572</x:v>
      </x:c>
    </x:row>
    <x:row r="10">
      <x:c r="A10" s="241" t="str">
        <x:v>Mass-balance item</x:v>
      </x:c>
      <x:c r="B10" s="241" t="str">
        <x:v>Value</x:v>
      </x:c>
      <x:c r="C10" s="241" t="str">
        <x:v>Unit/status</x:v>
      </x:c>
      <x:c r="D10" s="241" t="str">
        <x:v>Interpretation</x:v>
      </x:c>
    </x:row>
    <x:row r="11">
      <x:c r="A11" t="str">
        <x:v>Total ash across all dry biomass</x:v>
      </x:c>
      <x:c r="B11" t="n">
        <x:v>63.14</x:v>
      </x:c>
      <x:c r="C11" t="str">
        <x:v>Mt/yr</x:v>
      </x:c>
      <x:c r="D11" t="str">
        <x:v>25% of primary total dry biomass.</x:v>
      </x:c>
    </x:row>
    <x:row r="12">
      <x:c r="A12" t="str">
        <x:v>Fuel-stream ash</x:v>
      </x:c>
      <x:c r="B12" t="n">
        <x:v>50.51</x:v>
      </x:c>
      <x:c r="C12" t="str">
        <x:v>Mt/yr</x:v>
      </x:c>
      <x:c r="D12" t="str">
        <x:v>Already represented in V57.</x:v>
      </x:c>
    </x:row>
    <x:row r="13">
      <x:c r="A13" t="str">
        <x:v>Food-stream ash</x:v>
      </x:c>
      <x:c r="B13" t="n">
        <x:v>3.16</x:v>
      </x:c>
      <x:c r="C13" t="str">
        <x:v>Mt/yr</x:v>
      </x:c>
      <x:c r="D13" t="str">
        <x:v>Quantifies mineral/iodine/sodium/trace-element food-safety burden.</x:v>
      </x:c>
    </x:row>
    <x:row r="14">
      <x:c r="A14" t="str">
        <x:v>Durable + materials ash</x:v>
      </x:c>
      <x:c r="B14" t="n">
        <x:v>9.47</x:v>
      </x:c>
      <x:c r="C14" t="str">
        <x:v>Mt/yr</x:v>
      </x:c>
      <x:c r="D14" t="str">
        <x:v>Previously outside the explicit fuel ash stream.</x:v>
      </x:c>
    </x:row>
    <x:row r="15">
      <x:c r="A15" t="str">
        <x:v>Carbon basis</x:v>
      </x:c>
      <x:c r="B15" t="n">
        <x:v>0.4</x:v>
      </x:c>
      <x:c r="C15" t="str">
        <x:v>C fraction of organic dry matter</x:v>
      </x:c>
      <x:c r="D15" t="str">
        <x:v>0.30 C/total dry with 25% ash implies ~0.40 C/ash-free organics.</x:v>
      </x:c>
    </x:row>
    <x:row r="18">
      <x:c r="A18" s="235" t="str">
        <x:v>The food-grade dry stream carries the same 25% ash screen unless species/process data justify another value; this makes iodine, sodium and trace-element controls a quantified mass-flow issue rather than only a caution string.</x:v>
      </x:c>
      <x:c r="B18" s="235"/>
      <x:c r="C18" s="235"/>
      <x:c r="D18" s="235"/>
      <x:c r="E18" s="235"/>
      <x:c r="F18" s="235"/>
    </x:row>
    <x:row r="19">
      <x:c r="A19" s="235"/>
      <x:c r="B19" s="235"/>
      <x:c r="C19" s="235"/>
      <x:c r="D19" s="235"/>
      <x:c r="E19" s="235"/>
      <x:c r="F19" s="235"/>
    </x:row>
    <x:row r="20">
      <x:c r="A20" s="235"/>
      <x:c r="B20" s="235"/>
      <x:c r="C20" s="235"/>
      <x:c r="D20" s="235"/>
      <x:c r="E20" s="235"/>
      <x:c r="F20" s="235"/>
    </x:row>
    <x:row r="21">
      <x:c r="A21" s="235"/>
      <x:c r="B21" s="235"/>
      <x:c r="C21" s="235"/>
      <x:c r="D21" s="235"/>
      <x:c r="E21" s="235"/>
      <x:c r="F21" s="235"/>
    </x:row>
  </x:sheetData>
  <x:mergeCells>
    <x:mergeCell ref="A1:H1"/>
    <x:mergeCell ref="A18:F21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26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  <x:c r="E1" s="229"/>
      <x:c r="F1" s="229"/>
      <x:c r="G1" s="229"/>
      <x:c r="H1" s="229"/>
      <x:c r="I1" s="229"/>
      <x:c r="J1" s="229"/>
    </x:row>
    <x:row r="4">
      <x:c r="A4" s="241" t="str">
        <x:v>farmgate_case</x:v>
      </x:c>
      <x:c r="B4" s="241" t="str">
        <x:v>farmgate_usd_per_dry_t</x:v>
      </x:c>
      <x:c r="C4" s="241" t="str">
        <x:v>durable_dry_stream_mt_yr</x:v>
      </x:c>
      <x:c r="D4" s="241" t="str">
        <x:v>durable_storage_mtco2_yr_inside_bicrs</x:v>
      </x:c>
      <x:c r="E4" s="241" t="str">
        <x:v>annual_farmgate_cost_usd_bn</x:v>
      </x:c>
      <x:c r="F4" s="241" t="str">
        <x:v>farmgate_cost_usd_per_tco2_durable</x:v>
      </x:c>
      <x:c r="G4" s="241" t="str">
        <x:v>multiple_of_bicrs_160_start</x:v>
      </x:c>
      <x:c r="H4" s="241" t="str">
        <x:v>multiple_of_bicrs_80_floor</x:v>
      </x:c>
    </x:row>
    <x:row r="5">
      <x:c r="A5" s="6" t="str">
        <x:v>favorable_large_scale</x:v>
      </x:c>
      <x:c r="B5" s="6" t="n">
        <x:v>100</x:v>
      </x:c>
      <x:c r="C5" s="6" t="n">
        <x:v>25.257142857142856</x:v>
      </x:c>
      <x:c r="D5" s="6" t="n">
        <x:v>25.004571428571428</x:v>
      </x:c>
      <x:c r="E5" s="6" t="n">
        <x:v>2.5257142857142854</x:v>
      </x:c>
      <x:c r="F5" s="6" t="n">
        <x:v>101.010101010101</x:v>
      </x:c>
      <x:c r="G5" s="6" t="n">
        <x:v>0.6313131313131313</x:v>
      </x:c>
      <x:c r="H5" s="6" t="n">
        <x:v>1.2626262626262625</x:v>
      </x:c>
    </x:row>
    <x:row r="6">
      <x:c r="A6" s="6" t="str">
        <x:v>central_large_scale</x:v>
      </x:c>
      <x:c r="B6" s="6" t="n">
        <x:v>275</x:v>
      </x:c>
      <x:c r="C6" s="6" t="n">
        <x:v>25.257142857142856</x:v>
      </x:c>
      <x:c r="D6" s="6" t="n">
        <x:v>25.004571428571428</x:v>
      </x:c>
      <x:c r="E6" s="6" t="n">
        <x:v>6.945714285714285</x:v>
      </x:c>
      <x:c r="F6" s="6" t="n">
        <x:v>277.7777777777777</x:v>
      </x:c>
      <x:c r="G6" s="6" t="n">
        <x:v>1.7361111111111107</x:v>
      </x:c>
      <x:c r="H6" s="6" t="n">
        <x:v>3.4722222222222214</x:v>
      </x:c>
    </x:row>
    <x:row r="7">
      <x:c r="A7" s="6" t="str">
        <x:v>global_low_cost_area_stress</x:v>
      </x:c>
      <x:c r="B7" s="6" t="n">
        <x:v>880</x:v>
      </x:c>
      <x:c r="C7" s="6" t="n">
        <x:v>25.257142857142856</x:v>
      </x:c>
      <x:c r="D7" s="6" t="n">
        <x:v>25.004571428571428</x:v>
      </x:c>
      <x:c r="E7" s="6" t="n">
        <x:v>22.226285714285712</x:v>
      </x:c>
      <x:c r="F7" s="6" t="n">
        <x:v>888.8888888888888</x:v>
      </x:c>
      <x:c r="G7" s="6" t="n">
        <x:v>5.555555555555555</x:v>
      </x:c>
      <x:c r="H7" s="6" t="n">
        <x:v>11.11111111111111</x:v>
      </x:c>
    </x:row>
    <x:row r="10">
      <x:c r="A10" s="241" t="str">
        <x:v>Decision metric</x:v>
      </x:c>
      <x:c r="B10" s="241" t="str">
        <x:v>Value</x:v>
      </x:c>
      <x:c r="C10" s="241" t="str">
        <x:v>Unit/status</x:v>
      </x:c>
      <x:c r="D10" s="241" t="str">
        <x:v>Interpretation</x:v>
      </x:c>
    </x:row>
    <x:row r="11">
      <x:c r="A11" t="str">
        <x:v>BiCRS starting cost screen</x:v>
      </x:c>
      <x:c r="B11" t="n">
        <x:v>160</x:v>
      </x:c>
      <x:c r="C11" t="str">
        <x:v>USD/tCO₂</x:v>
      </x:c>
      <x:c r="D11" t="str">
        <x:v>Reference displaced tranche.</x:v>
      </x:c>
    </x:row>
    <x:row r="12">
      <x:c r="A12" t="str">
        <x:v>BiCRS learning floor</x:v>
      </x:c>
      <x:c r="B12" t="n">
        <x:v>80</x:v>
      </x:c>
      <x:c r="C12" t="str">
        <x:v>USD/tCO₂</x:v>
      </x:c>
      <x:c r="D12" t="str">
        <x:v>Reference mature floor.</x:v>
      </x:c>
    </x:row>
    <x:row r="13">
      <x:c r="A13" t="str">
        <x:v>Break-even seaweed farmgate vs $160 BiCRS</x:v>
      </x:c>
      <x:c r="B13" t="n">
        <x:v>158.4</x:v>
      </x:c>
      <x:c r="C13" t="str">
        <x:v>USD/dry t</x:v>
      </x:c>
      <x:c r="D13" t="str">
        <x:v>Above this, seaweed durable storage is more expensive before transport/sinking/MRV.</x:v>
      </x:c>
    </x:row>
    <x:row r="14">
      <x:c r="A14" t="str">
        <x:v>Break-even seaweed farmgate vs $80 BiCRS</x:v>
      </x:c>
      <x:c r="B14" t="n">
        <x:v>79.2</x:v>
      </x:c>
      <x:c r="C14" t="str">
        <x:v>USD/dry t</x:v>
      </x:c>
      <x:c r="D14" t="str">
        <x:v>Favorable $100/dry t case still exceeds the $80/tCO₂ floor.</x:v>
      </x:c>
    </x:row>
    <x:row r="15">
      <x:c r="A15" t="str">
        <x:v>Land relief</x:v>
      </x:c>
      <x:c r="B15" t="n">
        <x:v>2.93</x:v>
      </x:c>
      <x:c r="C15" t="str">
        <x:v>Mha, unpriced co-benefit</x:v>
      </x:c>
      <x:c r="D15" t="str">
        <x:v>Could justify some premium, but V58 does not assign a value.</x:v>
      </x:c>
    </x:row>
    <x:row r="16">
      <x:c r="A16" t="str">
        <x:v>Design rule</x:v>
      </x:c>
      <x:c r="B16" t="str">
        <x:v>SELECTIVE SUBSTITUTION</x:v>
      </x:c>
      <x:c r="C16" t="str">
        <x:v>policy screen</x:v>
      </x:c>
      <x:c r="D16" t="str">
        <x:v>Do not automatically substitute seaweed durable storage for BiCRS in the central or stress farmgate cases. Favorable sites can compete with unlearned BiCRS but not with the $80/tCO2 floor before transport/sinking/MRV. Retain the durable stream only where measured full-chain cost plus valued co-benefits beats the displaced alternative.</x:v>
      </x:c>
    </x:row>
  </x:sheetData>
  <x:mergeCells>
    <x:mergeCell ref="A1:J1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0" hidden="0" customWidth="1"/>
    <x:col min="3" max="3" width="50" hidden="0" customWidth="1"/>
    <x:col min="4" max="4" width="64" hidden="0" customWidth="1"/>
    <x:col min="5" max="5" width="20" hidden="0" customWidth="1"/>
    <x:col min="6" max="6" width="20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  <x:c r="E1" s="229"/>
      <x:c r="F1" s="229"/>
    </x:row>
    <x:row r="3">
      <x:c r="A3" s="241" t="str">
        <x:v>Item</x:v>
      </x:c>
      <x:c r="B3" s="241" t="str">
        <x:v>Value</x:v>
      </x:c>
      <x:c r="C3" s="241" t="str">
        <x:v>Unit/status</x:v>
      </x:c>
      <x:c r="D3" s="241" t="str">
        <x:v>Interpretation</x:v>
      </x:c>
    </x:row>
    <x:row r="4">
      <x:c r="A4" t="str">
        <x:v>NOAA May 2026 global monthly mean</x:v>
      </x:c>
      <x:c r="B4" t="n">
        <x:v>428.73</x:v>
      </x:c>
      <x:c r="C4" t="str">
        <x:v>ppm</x:v>
      </x:c>
      <x:c r="D4" t="str">
        <x:v>Observed anchor used in the internal model.</x:v>
      </x:c>
    </x:row>
    <x:row r="5">
      <x:c r="A5" t="str">
        <x:v>FaIR p50 timebound 2026</x:v>
      </x:c>
      <x:c r="B5" t="n">
        <x:v>424.954</x:v>
      </x:c>
      <x:c r="C5" t="str">
        <x:v>ppm</x:v>
      </x:c>
      <x:c r="D5" t="str">
        <x:v>Pre-2026 override-flux state.</x:v>
      </x:c>
    </x:row>
    <x:row r="6">
      <x:c r="A6" t="str">
        <x:v>Difference</x:v>
      </x:c>
      <x:c r="B6" t="n">
        <x:v>3.776</x:v>
      </x:c>
      <x:c r="C6" t="str">
        <x:v>ppm</x:v>
      </x:c>
      <x:c r="D6" t="str">
        <x:v>Still needs calendar/historical initialization reconciliation.</x:v>
      </x:c>
    </x:row>
    <x:row r="7">
      <x:c r="A7" t="str">
        <x:v>FaIR p50 timebound 2027</x:v>
      </x:c>
      <x:c r="B7" t="n">
        <x:v>427.29</x:v>
      </x:c>
      <x:c r="C7" t="str">
        <x:v>ppm</x:v>
      </x:c>
      <x:c r="D7" t="str">
        <x:v>After 2026 override flux.</x:v>
      </x:c>
    </x:row>
    <x:row r="8">
      <x:c r="A8" t="str">
        <x:v>AFOLU-zeroing as cause of timebound-2026 difference</x:v>
      </x:c>
      <x:c r="B8" t="str">
        <x:v>NO</x:v>
      </x:c>
      <x:c r="C8" t="str">
        <x:v>causal finding</x:v>
      </x:c>
      <x:c r="D8" t="str">
        <x:v>Override acts after timebound 2026, so it cannot cause the pre-override mismatch itself.</x:v>
      </x:c>
    </x:row>
    <x:row r="9">
      <x:c r="A9" t="str">
        <x:v>Status</x:v>
      </x:c>
      <x:c r="B9" t="str">
        <x:v>PARTIALLY_CLOSED_CAUSALLY_OFFICIAL_RESTART_STILL_REQUIRED</x:v>
      </x:c>
      <x:c r="C9" t="str">
        <x:v>open external restart</x:v>
      </x:c>
      <x:c r="D9" t="str">
        <x:v>Common-state and historical/calibration comparison still required.</x:v>
      </x:c>
    </x:row>
    <x:row r="10">
      <x:c r="A10" t="str">
        <x:v>Current conclusion</x:v>
      </x:c>
      <x:c r="B10" t="str">
        <x:v>FaIR timebound 2026 is the state before the 2026 override flux is applied, so zeroing CO2 AFOLU from 2026 cannot be the cause of the timebound-2026 concentration difference itself. It can affect 2027 onward. The remaining mismatch therefore belongs to calendar/timebound alignment and/or the calibrated historical emissions/concentration setup and must be resolved in the official restart.</x:v>
      </x:c>
      <x:c r="C10" t="str">
        <x:v>text</x:v>
      </x:c>
      <x:c r="D10" t="str">
        <x:v>Narrowed attribution; no unsupported correction applied.</x:v>
      </x:c>
    </x:row>
    <x:row r="13">
      <x:c r="A13" s="241" t="str">
        <x:v>Restart check</x:v>
      </x:c>
      <x:c r="B13" s="241" t="str">
        <x:v>Required</x:v>
      </x:c>
      <x:c r="C13" s="241" t="str">
        <x:v>Reason</x:v>
      </x:c>
      <x:c r="D13" s="241" t="str">
        <x:v>Status</x:v>
      </x:c>
    </x:row>
    <x:row r="14">
      <x:c r="A14" t="str">
        <x:v>Compare observed concentration to the correctly dated FaIR timebound or initialize the override run from a common observed concentration state.</x:v>
      </x:c>
      <x:c r="B14" t="str">
        <x:v>YES</x:v>
      </x:c>
      <x:c r="C14" t="str">
        <x:v>Common-state concentration/date alignment</x:v>
      </x:c>
      <x:c r="D14" t="str">
        <x:v>OPEN</x:v>
      </x:c>
    </x:row>
    <x:row r="15">
      <x:c r="A15" t="str">
        <x:v>Preserve total CO2 while testing FFI/AFOLU allocation at the splice so the carbon-cycle state is not changed merely by bookkeeping.</x:v>
      </x:c>
      <x:c r="B15" t="str">
        <x:v>YES</x:v>
      </x:c>
      <x:c r="C15" t="str">
        <x:v>Test FFI/AFOLU splice without changing total CO₂</x:v>
      </x:c>
      <x:c r="D15" t="str">
        <x:v>OPEN</x:v>
      </x:c>
    </x:row>
    <x:row r="16">
      <x:c r="A16" t="str">
        <x:v>Run the already-planned zero-background-non-CO2 experiment from the same common state.</x:v>
      </x:c>
      <x:c r="B16" t="str">
        <x:v>YES</x:v>
      </x:c>
      <x:c r="C16" t="str">
        <x:v>Combine with zero-background-non-CO₂ attribution experiment</x:v>
      </x:c>
      <x:c r="D16" t="str">
        <x:v>OPEN</x:v>
      </x:c>
    </x:row>
  </x:sheetData>
  <x:mergeCells>
    <x:mergeCell ref="A1:F1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  <x:col min="3" max="3" width="78" hidden="0" customWidth="1"/>
    <x:col min="4" max="4" width="30" hidden="0" customWidth="1"/>
  </x:cols>
  <x:sheetData>
    <x:row r="1">
      <x:c r="A1" s="247" t="str">
        <x:v>HISTORICAL V58 SHEET — retained for lineage. V59 adds sea level and FaIR-driven ocean pH; use V59_* sheets for current headlines.</x:v>
      </x:c>
      <x:c r="B1" s="229"/>
      <x:c r="C1" s="229"/>
      <x:c r="D1" s="229"/>
    </x:row>
    <x:row r="3">
      <x:c r="A3" s="241" t="str">
        <x:v>Source</x:v>
      </x:c>
      <x:c r="B3" s="241" t="str">
        <x:v>Use in V58</x:v>
      </x:c>
      <x:c r="C3" s="241" t="str">
        <x:v>URL</x:v>
      </x:c>
      <x:c r="D3" s="241" t="str">
        <x:v>Treatment</x:v>
      </x:c>
    </x:row>
    <x:row r="4">
      <x:c r="A4" s="6" t="str">
        <x:v>AIMS GBR Annual Summary 2025–26</x:v>
      </x:c>
      <x:c r="B4" s="6" t="str">
        <x:v>Observed 2026 hard-coral cover and initial recovery after recent bleaching</x:v>
      </x:c>
      <x:c r="C4" s="6" t="str">
        <x:v>https://www.aims.gov.au/monitoring-great-barrier-reef/gbr-condition-summary-2025-26</x:v>
      </x:c>
      <x:c r="D4" s="6" t="str">
        <x:v>Observed external reference</x:v>
      </x:c>
    </x:row>
    <x:row r="5">
      <x:c r="A5" s="6" t="str">
        <x:v>AIMS GBR Annual Summary 2024–25</x:v>
      </x:c>
      <x:c r="B5" s="6" t="str">
        <x:v>2024→2025 cover losses from 2024 bleaching</x:v>
      </x:c>
      <x:c r="C5" s="6" t="str">
        <x:v>https://www.aims.gov.au/monitoring-great-barrier-reef/gbr-condition-summary-2024-25</x:v>
      </x:c>
      <x:c r="D5" s="6" t="str">
        <x:v>Observed external reference</x:v>
      </x:c>
    </x:row>
    <x:row r="6">
      <x:c r="A6" s="6" t="str">
        <x:v>Great Barrier Reef Marine Park Authority — Coral bleaching</x:v>
      </x:c>
      <x:c r="B6" s="6" t="str">
        <x:v>Typical 10–15 year reef re-establishment window with minimal disturbance; event chronology</x:v>
      </x:c>
      <x:c r="C6" s="6" t="str">
        <x:v>https://www2.gbrmpa.gov.au/learn/reef-health/coral-bleaching</x:v>
      </x:c>
      <x:c r="D6" s="6" t="str">
        <x:v>Primary recovery-timescale anchor</x:v>
      </x:c>
    </x:row>
    <x:row r="7">
      <x:c r="A7" s="6" t="str">
        <x:v>AIMS — What is coral bleaching?</x:v>
      </x:c>
      <x:c r="B7" s="6" t="str">
        <x:v>10–15 year recovery context and reduced recovery windows under climate change</x:v>
      </x:c>
      <x:c r="C7" s="6" t="str">
        <x:v>https://www.aims.gov.au/research-topics/environmental-issues/coral-bleaching/what-coral-bleaching</x:v>
      </x:c>
      <x:c r="D7" s="6" t="str">
        <x:v>Recovery context</x:v>
      </x:c>
    </x:row>
    <x:row r="8">
      <x:c r="A8" s="6" t="str">
        <x:v>AIMS — Declining coral growth</x:v>
      </x:c>
      <x:c r="B8" s="6" t="str">
        <x:v>Bleaching can suppress coral calcification for up to four years</x:v>
      </x:c>
      <x:c r="C8" s="6" t="str">
        <x:v>https://www.aims.gov.au/docs/research/climate-change/declining-coral-growth.html</x:v>
      </x:c>
      <x:c r="D8" s="6" t="str">
        <x:v>Physiology/growth screen</x:v>
      </x:c>
    </x:row>
    <x:row r="9">
      <x:c r="A9" s="6" t="str">
        <x:v>Scientific Reports — Palm Islands GBR</x:v>
      </x:c>
      <x:c r="B9" s="6" t="str">
        <x:v>Roughly decade-long coral-cover recovery after 1998 bleaching under relatively low disturbance</x:v>
      </x:c>
      <x:c r="C9" s="6" t="str">
        <x:v>https://www.nature.com/articles/s41598-018-29608-y</x:v>
      </x:c>
      <x:c r="D9" s="6" t="str">
        <x:v>GBR recovery evidence</x:v>
      </x:c>
    </x:row>
    <x:row r="10">
      <x:c r="A10" s="6" t="str">
        <x:v>Nature — GBR ecosystem restructuring after 2016 bleaching</x:v>
      </x:c>
      <x:c r="B10" s="6" t="str">
        <x:v>Coral-cover loss and ecological/community restructuring can diverge</x:v>
      </x:c>
      <x:c r="C10" s="6" t="str">
        <x:v>https://www.nature.com/articles/s41586-018-0359-9</x:v>
      </x:c>
      <x:c r="D10" s="6" t="str">
        <x:v>Ecological-recovery caution</x:v>
      </x:c>
    </x:row>
    <x:row r="11">
      <x:c r="A11" s="6" t="str">
        <x:v>Scientific Reports — Recruitment drives recovery variation</x:v>
      </x:c>
      <x:c r="B11" s="6" t="str">
        <x:v>Some sites recover cover within ~5 years; others may need several decades</x:v>
      </x:c>
      <x:c r="C11" s="6" t="str">
        <x:v>https://www.nature.com/articles/s41598-018-25414-8</x:v>
      </x:c>
      <x:c r="D11" s="6" t="str">
        <x:v>Recovery variability</x:v>
      </x:c>
    </x:row>
    <x:row r="12">
      <x:c r="A12" s="6" t="str">
        <x:v>Scientific Reports 2025 — Coral restoration/accretion</x:v>
      </x:c>
      <x:c r="B12" s="6" t="str">
        <x:v>Local restoration can increase accretion/structural complexity within 2–6 years but heat can erase gains</x:v>
      </x:c>
      <x:c r="C12" s="6" t="str">
        <x:v>https://www.nature.com/articles/s41598-025-04818-3</x:v>
      </x:c>
      <x:c r="D12" s="6" t="str">
        <x:v>Local intervention screen</x:v>
      </x:c>
    </x:row>
    <x:row r="13">
      <x:c r="A13" s="6" t="str">
        <x:v>NOAA Global Monitoring Laboratory</x:v>
      </x:c>
      <x:c r="B13" s="6" t="str">
        <x:v>May 2026 global CO₂ monthly mean 428.73 ppm</x:v>
      </x:c>
      <x:c r="C13" s="6" t="str">
        <x:v>https://www.gml.noaa.gov/ccgg/trends/global.html</x:v>
      </x:c>
      <x:c r="D13" s="6" t="str">
        <x:v>Observed carbon anchor</x:v>
      </x:c>
    </x:row>
    <x:row r="14">
      <x:c r="A14" t="str">
        <x:v>V57 package / archived FaIR</x:v>
      </x:c>
      <x:c r="B14" t="str">
        <x:v>Canonical sink-response curve from archived FaIR 2.2.4 outputs and canonical 2026–2183 trajectory</x:v>
      </x:c>
      <x:c r="C14" t="str">
        <x:v>external_validation_results/ + data/external_validation_net_co2_trajectory.csv</x:v>
      </x:c>
      <x:c r="D14" t="str">
        <x:v>Existing archived model evidence</x:v>
      </x:c>
    </x:row>
  </x:sheetData>
  <x:mergeCells>
    <x:mergeCell ref="A1:D1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269" t="str">
        <x:v>HISTORICAL V59.0 SHEET — retained for lineage only. Use V59.1 current sheets and README_V59_1.md.</x:v>
      </x:c>
      <x:c r="B1" s="252"/>
      <x:c r="C1" s="252"/>
      <x:c r="D1" s="252"/>
      <x:c r="E1" s="252"/>
      <x:c r="F1" s="252"/>
      <x:c r="G1" s="252"/>
      <x:c r="H1" s="252"/>
    </x:row>
    <x:row r="3">
      <x:c r="A3" s="261" t="str">
        <x:v>Global-mean sea-level screening emulator using a Mengel-et-al.-style pursuit-curve framework driven by archived FaIR temperature. It is not a process-based ice-sheet model and not an IPCC/FACTS sea-level projection.</x:v>
      </x:c>
      <x:c r="B3" s="261"/>
      <x:c r="C3" s="261"/>
      <x:c r="D3" s="261"/>
      <x:c r="E3" s="261"/>
      <x:c r="F3" s="261"/>
      <x:c r="G3" s="261"/>
      <x:c r="H3" s="261"/>
    </x:row>
    <x:row r="5">
      <x:c r="A5" s="256" t="str">
        <x:v>case</x:v>
      </x:c>
      <x:c r="B5" s="256" t="str">
        <x:v>FaIR temperature quantile</x:v>
      </x:c>
      <x:c r="C5" s="256" t="str">
        <x:v>year</x:v>
      </x:c>
      <x:c r="D5" s="256" t="str">
        <x:v>additional GMSL since 2026 (m)</x:v>
      </x:c>
      <x:c r="E5" s="256" t="str">
        <x:v>GMSL rate (mm/yr)</x:v>
      </x:c>
    </x:row>
    <x:row r="6">
      <x:c r="A6" s="6" t="str">
        <x:v>low</x:v>
      </x:c>
      <x:c r="B6" s="6" t="str">
        <x:v>p05</x:v>
      </x:c>
      <x:c r="C6" s="6" t="n">
        <x:v>2050</x:v>
      </x:c>
      <x:c r="D6" s="6" t="n">
        <x:v>0.0728</x:v>
      </x:c>
      <x:c r="E6" s="6" t="n">
        <x:v>2.922</x:v>
      </x:c>
    </x:row>
    <x:row r="7">
      <x:c r="A7" s="6" t="str">
        <x:v>low</x:v>
      </x:c>
      <x:c r="B7" s="6" t="str">
        <x:v>p05</x:v>
      </x:c>
      <x:c r="C7" s="6" t="n">
        <x:v>2100</x:v>
      </x:c>
      <x:c r="D7" s="6" t="n">
        <x:v>0.1936</x:v>
      </x:c>
      <x:c r="E7" s="6" t="n">
        <x:v>1.94</x:v>
      </x:c>
    </x:row>
    <x:row r="8">
      <x:c r="A8" s="6" t="str">
        <x:v>low</x:v>
      </x:c>
      <x:c r="B8" s="6" t="str">
        <x:v>p05</x:v>
      </x:c>
      <x:c r="C8" s="6" t="n">
        <x:v>2150</x:v>
      </x:c>
      <x:c r="D8" s="6" t="n">
        <x:v>0.2696</x:v>
      </x:c>
      <x:c r="E8" s="6" t="n">
        <x:v>1.064</x:v>
      </x:c>
    </x:row>
    <x:row r="9">
      <x:c r="A9" s="6" t="str">
        <x:v>low</x:v>
      </x:c>
      <x:c r="B9" s="6" t="str">
        <x:v>p05</x:v>
      </x:c>
      <x:c r="C9" s="6" t="n">
        <x:v>2200</x:v>
      </x:c>
      <x:c r="D9" s="6" t="n">
        <x:v>0.3099</x:v>
      </x:c>
      <x:c r="E9" s="6" t="n">
        <x:v>0.703</x:v>
      </x:c>
    </x:row>
    <x:row r="10">
      <x:c r="A10" s="6" t="str">
        <x:v>low</x:v>
      </x:c>
      <x:c r="B10" s="6" t="str">
        <x:v>p05</x:v>
      </x:c>
      <x:c r="C10" s="6" t="n">
        <x:v>2300</x:v>
      </x:c>
      <x:c r="D10" s="6" t="n">
        <x:v>0.3403</x:v>
      </x:c>
      <x:c r="E10" s="6" t="n">
        <x:v>0.092</x:v>
      </x:c>
    </x:row>
    <x:row r="11">
      <x:c r="A11" s="6" t="str">
        <x:v>low</x:v>
      </x:c>
      <x:c r="B11" s="6" t="str">
        <x:v>p05</x:v>
      </x:c>
      <x:c r="C11" s="6" t="n">
        <x:v>2400</x:v>
      </x:c>
      <x:c r="D11" s="6" t="n">
        <x:v>0.3359</x:v>
      </x:c>
      <x:c r="E11" s="6" t="n">
        <x:v>-0.123</x:v>
      </x:c>
    </x:row>
    <x:row r="12">
      <x:c r="A12" s="6" t="str">
        <x:v>central</x:v>
      </x:c>
      <x:c r="B12" s="6" t="str">
        <x:v>p50</x:v>
      </x:c>
      <x:c r="C12" s="6" t="n">
        <x:v>2050</x:v>
      </x:c>
      <x:c r="D12" s="6" t="n">
        <x:v>0.1111</x:v>
      </x:c>
      <x:c r="E12" s="6" t="n">
        <x:v>4.534</x:v>
      </x:c>
    </x:row>
    <x:row r="13">
      <x:c r="A13" s="6" t="str">
        <x:v>central</x:v>
      </x:c>
      <x:c r="B13" s="6" t="str">
        <x:v>p50</x:v>
      </x:c>
      <x:c r="C13" s="6" t="n">
        <x:v>2100</x:v>
      </x:c>
      <x:c r="D13" s="6" t="n">
        <x:v>0.3094</x:v>
      </x:c>
      <x:c r="E13" s="6" t="n">
        <x:v>3.504</x:v>
      </x:c>
    </x:row>
    <x:row r="14">
      <x:c r="A14" s="6" t="str">
        <x:v>central</x:v>
      </x:c>
      <x:c r="B14" s="6" t="str">
        <x:v>p50</x:v>
      </x:c>
      <x:c r="C14" s="6" t="n">
        <x:v>2150</x:v>
      </x:c>
      <x:c r="D14" s="6" t="n">
        <x:v>0.4529</x:v>
      </x:c>
      <x:c r="E14" s="6" t="n">
        <x:v>2.213</x:v>
      </x:c>
    </x:row>
    <x:row r="15">
      <x:c r="A15" s="6" t="str">
        <x:v>central</x:v>
      </x:c>
      <x:c r="B15" s="6" t="str">
        <x:v>p50</x:v>
      </x:c>
      <x:c r="C15" s="6" t="n">
        <x:v>2200</x:v>
      </x:c>
      <x:c r="D15" s="6" t="n">
        <x:v>0.5461</x:v>
      </x:c>
      <x:c r="E15" s="6" t="n">
        <x:v>1.632</x:v>
      </x:c>
    </x:row>
    <x:row r="16">
      <x:c r="A16" s="6" t="str">
        <x:v>central</x:v>
      </x:c>
      <x:c r="B16" s="6" t="str">
        <x:v>p50</x:v>
      </x:c>
      <x:c r="C16" s="6" t="n">
        <x:v>2300</x:v>
      </x:c>
      <x:c r="D16" s="6" t="n">
        <x:v>0.6585</x:v>
      </x:c>
      <x:c r="E16" s="6" t="n">
        <x:v>0.73</x:v>
      </x:c>
    </x:row>
    <x:row r="17">
      <x:c r="A17" s="6" t="str">
        <x:v>central</x:v>
      </x:c>
      <x:c r="B17" s="6" t="str">
        <x:v>p50</x:v>
      </x:c>
      <x:c r="C17" s="6" t="n">
        <x:v>2400</x:v>
      </x:c>
      <x:c r="D17" s="6" t="n">
        <x:v>0.7054</x:v>
      </x:c>
      <x:c r="E17" s="6" t="n">
        <x:v>0.281</x:v>
      </x:c>
    </x:row>
    <x:row r="18">
      <x:c r="A18" s="6" t="str">
        <x:v>high</x:v>
      </x:c>
      <x:c r="B18" s="6" t="str">
        <x:v>p95</x:v>
      </x:c>
      <x:c r="C18" s="6" t="n">
        <x:v>2050</x:v>
      </x:c>
      <x:c r="D18" s="6" t="n">
        <x:v>0.1586</x:v>
      </x:c>
      <x:c r="E18" s="6" t="n">
        <x:v>6.716</x:v>
      </x:c>
    </x:row>
    <x:row r="19">
      <x:c r="A19" s="6" t="str">
        <x:v>high</x:v>
      </x:c>
      <x:c r="B19" s="6" t="str">
        <x:v>p95</x:v>
      </x:c>
      <x:c r="C19" s="6" t="n">
        <x:v>2100</x:v>
      </x:c>
      <x:c r="D19" s="6" t="n">
        <x:v>0.4758</x:v>
      </x:c>
      <x:c r="E19" s="6" t="n">
        <x:v>6.043</x:v>
      </x:c>
    </x:row>
    <x:row r="20">
      <x:c r="A20" s="6" t="str">
        <x:v>high</x:v>
      </x:c>
      <x:c r="B20" s="6" t="str">
        <x:v>p95</x:v>
      </x:c>
      <x:c r="C20" s="6" t="n">
        <x:v>2150</x:v>
      </x:c>
      <x:c r="D20" s="6" t="n">
        <x:v>0.7442</x:v>
      </x:c>
      <x:c r="E20" s="6" t="n">
        <x:v>4.388</x:v>
      </x:c>
    </x:row>
    <x:row r="21">
      <x:c r="A21" s="6" t="str">
        <x:v>high</x:v>
      </x:c>
      <x:c r="B21" s="6" t="str">
        <x:v>p95</x:v>
      </x:c>
      <x:c r="C21" s="6" t="n">
        <x:v>2200</x:v>
      </x:c>
      <x:c r="D21" s="6" t="n">
        <x:v>0.9496</x:v>
      </x:c>
      <x:c r="E21" s="6" t="n">
        <x:v>3.938</x:v>
      </x:c>
    </x:row>
    <x:row r="22">
      <x:c r="A22" s="6" t="str">
        <x:v>high</x:v>
      </x:c>
      <x:c r="B22" s="6" t="str">
        <x:v>p95</x:v>
      </x:c>
      <x:c r="C22" s="6" t="n">
        <x:v>2300</x:v>
      </x:c>
      <x:c r="D22" s="6" t="n">
        <x:v>1.2615</x:v>
      </x:c>
      <x:c r="E22" s="6" t="n">
        <x:v>2.462</x:v>
      </x:c>
    </x:row>
    <x:row r="23">
      <x:c r="A23" s="6" t="str">
        <x:v>high</x:v>
      </x:c>
      <x:c r="B23" s="6" t="str">
        <x:v>p95</x:v>
      </x:c>
      <x:c r="C23" s="6" t="n">
        <x:v>2400</x:v>
      </x:c>
      <x:c r="D23" s="6" t="n">
        <x:v>1.4556</x:v>
      </x:c>
      <x:c r="E23" s="6" t="n">
        <x:v>1.475</x:v>
      </x:c>
    </x:row>
    <x:row r="26">
      <x:c r="A26" s="256" t="str">
        <x:v>Central interpretation</x:v>
      </x:c>
      <x:c r="B26" s="256" t="str">
        <x:v>Value</x:v>
      </x:c>
      <x:c r="C26" s="256" t="str">
        <x:v>Unit/status</x:v>
      </x:c>
      <x:c r="D26" s="256" t="str">
        <x:v>Meaning</x:v>
      </x:c>
      <x:c r="E26" s="256"/>
    </x:row>
    <x:row r="27">
      <x:c r="A27" t="str">
        <x:v>2100 additional rise</x:v>
      </x:c>
      <x:c r="B27" t="n">
        <x:v>0.309</x:v>
      </x:c>
      <x:c r="C27" t="str">
        <x:v>m since 2026</x:v>
      </x:c>
      <x:c r="D27" t="str">
        <x:v>Screening estimate driven by archived FaIR p50 temperature.</x:v>
      </x:c>
    </x:row>
    <x:row r="28">
      <x:c r="A28" t="str">
        <x:v>2400 additional rise</x:v>
      </x:c>
      <x:c r="B28" t="n">
        <x:v>0.705</x:v>
      </x:c>
      <x:c r="C28" t="str">
        <x:v>m since 2026</x:v>
      </x:c>
      <x:c r="D28" t="str">
        <x:v>Sea level is still above 2026 and still rising.</x:v>
      </x:c>
    </x:row>
    <x:row r="29">
      <x:c r="A29" t="str">
        <x:v>2400 annual rate</x:v>
      </x:c>
      <x:c r="B29" t="n">
        <x:v>0.281</x:v>
      </x:c>
      <x:c r="C29" t="str">
        <x:v>mm/yr</x:v>
      </x:c>
      <x:c r="D29" t="str">
        <x:v>Positive in the central screen.</x:v>
      </x:c>
    </x:row>
    <x:row r="30">
      <x:c r="A30" t="str">
        <x:v>NASA context</x:v>
      </x:c>
      <x:c r="B30" t="n">
        <x:v>100.7</x:v>
      </x:c>
      <x:c r="C30" t="str">
        <x:v>mm since 1993</x:v>
      </x:c>
      <x:c r="D30" t="str">
        <x:v>Observed context only; V59 reports modeled changes from 2026.</x:v>
      </x:c>
    </x:row>
    <x:row r="31">
      <x:c r="A31" t="str">
        <x:v>AR6 sanity check</x:v>
      </x:c>
      <x:c r="B31" t="n">
        <x:v>0.379</x:v>
      </x:c>
      <x:c r="C31" t="str">
        <x:v>m approx relative 1995–2014</x:v>
      </x:c>
      <x:c r="D31" t="str">
        <x:v>Context-only comparison; V59 has a different forcing pathway and approximate baseline offset.</x:v>
      </x:c>
    </x:row>
    <x:row r="34">
      <x:c r="A34" s="250" t="str">
        <x:v>Report sea-level rise through 2400 as a V59 screening emulator driven by archived FaIR. Report sea-level fall/restoration dates only as explicit post-2400 boundary scenarios. Do not present the ~4th-millennium return-to-2026 result as a forecast.</x:v>
      </x:c>
      <x:c r="B34" s="250"/>
      <x:c r="C34" s="250"/>
      <x:c r="D34" s="250"/>
      <x:c r="E34" s="250"/>
      <x:c r="F34" s="250"/>
      <x:c r="G34" s="250"/>
      <x:c r="H34" s="250"/>
    </x:row>
    <x:row r="35">
      <x:c r="A35" s="250"/>
      <x:c r="B35" s="250"/>
      <x:c r="C35" s="250"/>
      <x:c r="D35" s="250"/>
      <x:c r="E35" s="250"/>
      <x:c r="F35" s="250"/>
      <x:c r="G35" s="250"/>
      <x:c r="H35" s="250"/>
    </x:row>
    <x:row r="36">
      <x:c r="A36" s="250"/>
      <x:c r="B36" s="250"/>
      <x:c r="C36" s="250"/>
      <x:c r="D36" s="250"/>
      <x:c r="E36" s="250"/>
      <x:c r="F36" s="250"/>
      <x:c r="G36" s="250"/>
      <x:c r="H36" s="250"/>
    </x:row>
    <x:row r="37">
      <x:c r="A37" s="250"/>
      <x:c r="B37" s="250"/>
      <x:c r="C37" s="250"/>
      <x:c r="D37" s="250"/>
      <x:c r="E37" s="250"/>
      <x:c r="F37" s="250"/>
      <x:c r="G37" s="250"/>
      <x:c r="H37" s="250"/>
    </x:row>
  </x:sheetData>
  <x:mergeCells>
    <x:mergeCell ref="A1:H1"/>
    <x:mergeCell ref="A3:H3"/>
    <x:mergeCell ref="A34:H37"/>
  </x:mergeCells>
  <x:pageMargins left="0.7" right="0.7" top="0.75" bottom="0.75" header="0.3" footer="0.3"/>
  <x:drawing xmlns:r="http://schemas.openxmlformats.org/officeDocument/2006/relationships" r:id="R6f3f8a051ed049fe"/>
</x:worksheet>
</file>

<file path=xl/worksheets/sheet7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5" hidden="0" customWidth="1"/>
    <x:col min="3" max="3" width="28" hidden="0" customWidth="1"/>
    <x:col min="4" max="4" width="7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269" t="str">
        <x:v>HISTORICAL V59.0 SHEET — retained for lineage only. Use V59.1 current sheets and README_V59_1.md.</x:v>
      </x:c>
      <x:c r="B1" s="252"/>
      <x:c r="C1" s="252"/>
      <x:c r="D1" s="252"/>
      <x:c r="E1" s="252"/>
      <x:c r="F1" s="252"/>
      <x:c r="G1" s="252"/>
      <x:c r="H1" s="252"/>
    </x:row>
    <x:row r="3">
      <x:c r="A3" s="250" t="str">
        <x:v>These dates are conditional boundary experiments beyond the archived FaIR 2400 horizon. They are intended to quantify lag, not to predict a future calendar year.</x:v>
      </x:c>
      <x:c r="B3" s="250"/>
      <x:c r="C3" s="250"/>
      <x:c r="D3" s="250"/>
      <x:c r="E3" s="250"/>
      <x:c r="F3" s="250"/>
      <x:c r="G3" s="250"/>
      <x:c r="H3" s="250"/>
    </x:row>
    <x:row r="5">
      <x:c r="A5" s="256" t="str">
        <x:v>case</x:v>
      </x:c>
      <x:c r="B5" s="256" t="str">
        <x:v>post-2400 temperature assumption</x:v>
      </x:c>
      <x:c r="C5" s="256" t="str">
        <x:v>peak GMSL year</x:v>
      </x:c>
      <x:c r="D5" s="256" t="str">
        <x:v>peak additional GMSL since 2026 (m)</x:v>
      </x:c>
      <x:c r="E5" s="256" t="str">
        <x:v>first nonpositive GMSL rate</x:v>
      </x:c>
      <x:c r="F5" s="256" t="str">
        <x:v>first 10 cm below peak</x:v>
      </x:c>
      <x:c r="G5" s="256" t="str">
        <x:v>return to 2026 GMSL</x:v>
      </x:c>
      <x:c r="H5" s="256" t="str">
        <x:v>within 5 cm of simplified preindustrial component state</x:v>
      </x:c>
    </x:row>
    <x:row r="6">
      <x:c r="A6" s="6" t="str">
        <x:v>low</x:v>
      </x:c>
      <x:c r="B6" s="6" t="str">
        <x:v>exponential decline toward 0 C; 300-year e-folding; scenario only</x:v>
      </x:c>
      <x:c r="C6" s="6" t="n">
        <x:v>2316</x:v>
      </x:c>
      <x:c r="D6" s="6" t="n">
        <x:v>0.341</x:v>
      </x:c>
      <x:c r="E6" s="6" t="n">
        <x:v>2309</x:v>
      </x:c>
      <x:c r="F6" s="6" t="n">
        <x:v>2650</x:v>
      </x:c>
      <x:c r="G6" s="6" t="n">
        <x:v>3309</x:v>
      </x:c>
      <x:c r="H6" s="6" t="n">
        <x:v>5459</x:v>
      </x:c>
    </x:row>
    <x:row r="7">
      <x:c r="A7" s="6" t="str">
        <x:v>central</x:v>
      </x:c>
      <x:c r="B7" s="6" t="str">
        <x:v>exponential decline toward 0 C; 300-year e-folding; scenario only</x:v>
      </x:c>
      <x:c r="C7" s="6" t="n">
        <x:v>2432</x:v>
      </x:c>
      <x:c r="D7" s="6" t="n">
        <x:v>0.71</x:v>
      </x:c>
      <x:c r="E7" s="6" t="n">
        <x:v>2433</x:v>
      </x:c>
      <x:c r="F7" s="6" t="n">
        <x:v>2639</x:v>
      </x:c>
      <x:c r="G7" s="6" t="n">
        <x:v>4011</x:v>
      </x:c>
      <x:c r="H7" s="6" t="n">
        <x:v>6536</x:v>
      </x:c>
    </x:row>
    <x:row r="8">
      <x:c r="A8" s="6" t="str">
        <x:v>high</x:v>
      </x:c>
      <x:c r="B8" s="6" t="str">
        <x:v>exponential decline toward 0 C; 300-year e-folding; scenario only</x:v>
      </x:c>
      <x:c r="C8" s="6" t="n">
        <x:v>2476</x:v>
      </x:c>
      <x:c r="D8" s="6" t="n">
        <x:v>1.506</x:v>
      </x:c>
      <x:c r="E8" s="6" t="n">
        <x:v>2477</x:v>
      </x:c>
      <x:c r="F8" s="6" t="n">
        <x:v>2615</x:v>
      </x:c>
      <x:c r="G8" s="6" t="n">
        <x:v>4987</x:v>
      </x:c>
      <x:c r="H8" s="6" t="n">
        <x:v>7780</x:v>
      </x:c>
    </x:row>
    <x:row r="11">
      <x:c r="A11" s="256" t="str">
        <x:v>Central post-2400 boundary test</x:v>
      </x:c>
      <x:c r="B11" s="256" t="str">
        <x:v>Result</x:v>
      </x:c>
      <x:c r="C11" s="256" t="str">
        <x:v>Status</x:v>
      </x:c>
      <x:c r="D11" s="256" t="str">
        <x:v>Interpretation</x:v>
      </x:c>
    </x:row>
    <x:row r="12">
      <x:c r="A12" s="6" t="str">
        <x:v>Hold 2400 temperature constant</x:v>
      </x:c>
      <x:c r="B12" s="6" t="str">
        <x:v>0.885°C</x:v>
      </x:c>
      <x:c r="C12" s="6" t="str">
        <x:v>NO FALL BY 10000</x:v>
      </x:c>
      <x:c r="D12" s="6" t="str">
        <x:v>Positive residual warming maintains a higher equilibrium sea level in this screen.</x:v>
      </x:c>
    </x:row>
    <x:row r="13">
      <x:c r="A13" s="6" t="str">
        <x:v>Hold-2400 sea level by year 10000</x:v>
      </x:c>
      <x:c r="B13" s="6" t="n">
        <x:v>1.446</x:v>
      </x:c>
      <x:c r="C13" s="6" t="str">
        <x:v>m above 2026</x:v>
      </x:c>
      <x:c r="D13" s="6" t="str">
        <x:v>Still approaching equilibrium; not a peak-and-fall case.</x:v>
      </x:c>
    </x:row>
    <x:row r="14">
      <x:c r="A14" s="6" t="str">
        <x:v>Cool toward 0.2°C, 300y e-fold</x:v>
      </x:c>
      <x:c r="B14" s="6" t="str">
        <x:v>peak 2445</x:v>
      </x:c>
      <x:c r="C14" s="6" t="str">
        <x:v>BOUNDARY SCENARIO</x:v>
      </x:c>
      <x:c r="D14" s="6" t="str">
        <x:v>Sea level eventually falls somewhat but stays above 2026 through year 10000.</x:v>
      </x:c>
    </x:row>
    <x:row r="15">
      <x:c r="A15" s="6" t="str">
        <x:v>0.2°C-floor GMSL in year 10000</x:v>
      </x:c>
      <x:c r="B15" s="6" t="n">
        <x:v>0.157</x:v>
      </x:c>
      <x:c r="C15" s="6" t="str">
        <x:v>m above 2026</x:v>
      </x:c>
      <x:c r="D15" s="6" t="str">
        <x:v>Illustrates why a positive residual temperature floor prevents full restoration.</x:v>
      </x:c>
    </x:row>
    <x:row r="16">
      <x:c r="A16" s="6" t="str">
        <x:v>Cool toward 0°C, 300y e-fold</x:v>
      </x:c>
      <x:c r="B16" s="6" t="str">
        <x:v>central return ~4011</x:v>
      </x:c>
      <x:c r="C16" s="6" t="str">
        <x:v>BOUNDARY SCENARIO</x:v>
      </x:c>
      <x:c r="D16" s="6" t="str">
        <x:v>Idealized route that permits eventual return to 2026 level.</x:v>
      </x:c>
    </x:row>
    <x:row r="17">
      <x:c r="A17" s="6" t="str">
        <x:v>Publication rule</x:v>
      </x:c>
      <x:c r="B17" s="6" t="str">
        <x:v>CONDITIONAL ONLY</x:v>
      </x:c>
      <x:c r="C17" s="6" t="str">
        <x:v>required</x:v>
      </x:c>
      <x:c r="D17" s="6" t="str">
        <x:v>Do not quote 4011/6536 as externally validated forecasts.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6" hidden="0" customWidth="1"/>
    <x:col min="3" max="3" width="28" hidden="0" customWidth="1"/>
    <x:col min="4" max="4" width="42" hidden="0" customWidth="1"/>
    <x:col min="5" max="5" width="28" hidden="0" customWidth="1"/>
    <x:col min="6" max="6" width="38" hidden="0" customWidth="1"/>
  </x:cols>
  <x:sheetData>
    <x:row r="1">
      <x:c r="A1" s="269" t="str">
        <x:v>HISTORICAL V59.0 SHEET — retained for lineage only. Use V59.1 current sheets and README_V59_1.md.</x:v>
      </x:c>
      <x:c r="B1" s="252"/>
      <x:c r="C1" s="252"/>
      <x:c r="D1" s="252"/>
      <x:c r="E1" s="252"/>
      <x:c r="F1" s="252"/>
    </x:row>
    <x:row r="3">
      <x:c r="A3" s="256" t="str">
        <x:v>Method element</x:v>
      </x:c>
      <x:c r="B3" s="256" t="str">
        <x:v>V59 treatment</x:v>
      </x:c>
      <x:c r="C3" s="256" t="str">
        <x:v>Publication status</x:v>
      </x:c>
    </x:row>
    <x:row r="4">
      <x:c r="A4" t="str">
        <x:v>Core equation</x:v>
      </x:c>
      <x:c r="B4" t="str">
        <x:v>dS/dt = (S_eq(T) - S) / tau</x:v>
      </x:c>
      <x:c r="C4" t="str">
        <x:v>SCREENING EMULATOR</x:v>
      </x:c>
    </x:row>
    <x:row r="5">
      <x:c r="A5" t="str">
        <x:v>Thermal expansion</x:v>
      </x:c>
      <x:c r="B5" t="str">
        <x:v>Mengel et al. 2016: 0.2–0.626 m/C; tau 81.7–1290 y</x:v>
      </x:c>
      <x:c r="C5" t="str">
        <x:v>Published parameter-range context</x:v>
      </x:c>
    </x:row>
    <x:row r="6">
      <x:c r="A6" t="str">
        <x:v>Greenland SMB</x:v>
      </x:c>
      <x:c r="B6" t="str">
        <x:v>Mengel et al. 2016: 0.05–0.21 m/C^2; tau 99.7–927 y</x:v>
      </x:c>
      <x:c r="C6" t="str">
        <x:v>Published parameter-range context</x:v>
      </x:c>
    </x:row>
    <x:row r="7">
      <x:c r="A7" t="str">
        <x:v>Antarctic dynamic response</x:v>
      </x:c>
      <x:c r="B7" t="str">
        <x:v>Mengel et al. 2016: 1.0–1.5 m/C; tau 1350–2910 y</x:v>
      </x:c>
      <x:c r="C7" t="str">
        <x:v>Published parameter-range context</x:v>
      </x:c>
    </x:row>
    <x:row r="8">
      <x:c r="A8" t="str">
        <x:v>Glaciers</x:v>
      </x:c>
      <x:c r="B8" t="str">
        <x:v>Simplified saturating global glacier-equilibrium screen with response time within Mengel calibrated 98–295 y range; tuned only as an AR6-consistency screen.</x:v>
      </x:c>
      <x:c r="C8" t="str">
        <x:v>Simplified global screen</x:v>
      </x:c>
    </x:row>
    <x:row r="9">
      <x:c r="A9" t="str">
        <x:v>Model driver</x:v>
      </x:c>
      <x:c r="B9" t="str">
        <x:v>Archived FaIR p05/p50/p95 temperature through 2400</x:v>
      </x:c>
      <x:c r="C9" t="str">
        <x:v>External temperature trajectory</x:v>
      </x:c>
    </x:row>
    <x:row r="10">
      <x:c r="A10" t="str">
        <x:v>Output reference</x:v>
      </x:c>
      <x:c r="B10" t="str">
        <x:v>Additional global mean sea level since 2026</x:v>
      </x:c>
      <x:c r="C10" t="str">
        <x:v>Not local relative sea level</x:v>
      </x:c>
    </x:row>
    <x:row r="13">
      <x:c r="A13" s="254" t="str">
        <x:v>Processes NOT represented in V59 sea-level emulator</x:v>
      </x:c>
      <x:c r="B13" s="254"/>
      <x:c r="C13" s="254"/>
      <x:c r="D13" s="254" t="str">
        <x:v>AR6 / observational sanity-check context</x:v>
      </x:c>
      <x:c r="E13" s="254"/>
      <x:c r="F13" s="254"/>
    </x:row>
    <x:row r="14">
      <x:c r="A14" s="6" t="str">
        <x:v>marine ice-sheet instability / marine ice-cliff instability</x:v>
      </x:c>
      <x:c r="D14" s="256" t="str">
        <x:v>Context metric</x:v>
      </x:c>
      <x:c r="E14" s="256" t="str">
        <x:v>Value</x:v>
      </x:c>
      <x:c r="F14" s="256" t="str">
        <x:v>Unit/source</x:v>
      </x:c>
    </x:row>
    <x:row r="15">
      <x:c r="A15" s="6" t="str">
        <x:v>full Greenland dynamic-discharge convolution</x:v>
      </x:c>
      <x:c r="D15" t="str">
        <x:v>NASA Aug 2026 GMSL since 1993</x:v>
      </x:c>
      <x:c r="E15" t="n">
        <x:v>100.7</x:v>
      </x:c>
      <x:c r="F15" t="str">
        <x:v>mm</x:v>
      </x:c>
    </x:row>
    <x:row r="16">
      <x:c r="A16" s="6" t="str">
        <x:v>Antarctic snowfall surface-mass-balance parameterization</x:v>
      </x:c>
      <x:c r="D16" t="str">
        <x:v>NASA long-run rate</x:v>
      </x:c>
      <x:c r="E16" t="n">
        <x:v>4.4</x:v>
      </x:c>
      <x:c r="F16" t="str">
        <x:v>mm/yr</x:v>
      </x:c>
    </x:row>
    <x:row r="17">
      <x:c r="A17" s="6" t="str">
        <x:v>regional gravitational/rotational fingerprints</x:v>
      </x:c>
      <x:c r="D17" t="str">
        <x:v>AR6 SSP1-1.9 2100 median</x:v>
      </x:c>
      <x:c r="E17" t="n">
        <x:v>0.38</x:v>
      </x:c>
      <x:c r="F17" t="str">
        <x:v>m rel. 1995–2014</x:v>
      </x:c>
    </x:row>
    <x:row r="18">
      <x:c r="A18" s="6" t="str">
        <x:v>vertical land motion and local relative sea level</x:v>
      </x:c>
      <x:c r="D18" t="str">
        <x:v>AR6 SSP1-1.9 2100 likely</x:v>
      </x:c>
      <x:c r="E18" t="str">
        <x:v>[0.28, 0.55]</x:v>
      </x:c>
      <x:c r="F18" t="str">
        <x:v>m rel. 1995–2014</x:v>
      </x:c>
    </x:row>
    <x:row r="19">
      <x:c r="A19" s="6" t="str">
        <x:v>explicit ice-sheet hysteresis and tipping thresholds</x:v>
      </x:c>
      <x:c r="D19" t="str">
        <x:v>V59 central ~2100 context</x:v>
      </x:c>
      <x:c r="E19" t="n">
        <x:v>0.379</x:v>
      </x:c>
      <x:c r="F19" t="str">
        <x:v>m approx rel. 1995–2014</x:v>
      </x:c>
    </x:row>
    <x:row r="20">
      <x:c r="A20" s="6"/>
      <x:c r="D20" t="str">
        <x:v>Interpretation</x:v>
      </x:c>
      <x:c r="E20" t="str">
        <x:v>SANITY CHECK ONLY</x:v>
      </x:c>
      <x:c r="F20" t="str">
        <x:v>Different forcing path + approximate baseline offset</x:v>
      </x:c>
    </x:row>
    <x:row r="21">
      <x:c r="A21" s="6"/>
    </x:row>
    <x:row r="22">
      <x:c r="A22" s="6"/>
    </x:row>
    <x:row r="23">
      <x:c r="A23" s="6"/>
    </x:row>
    <x:row r="24">
      <x:c r="A24" s="6"/>
    </x:row>
    <x:row r="25">
      <x:c r="A25" s="6"/>
    </x:row>
  </x:sheetData>
  <x:mergeCells>
    <x:mergeCell ref="A1:F1"/>
    <x:mergeCell ref="A13:C13"/>
    <x:mergeCell ref="D13:F13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0" hidden="0" customWidth="1"/>
    <x:col min="4" max="4" width="7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269" t="str">
        <x:v>HISTORICAL V59.0 SHEET — retained for lineage only. Use V59.1 current sheets and README_V59_1.md.</x:v>
      </x:c>
      <x:c r="B1" s="252"/>
      <x:c r="C1" s="252"/>
      <x:c r="D1" s="252"/>
      <x:c r="E1" s="252"/>
      <x:c r="F1" s="252"/>
      <x:c r="G1" s="252"/>
      <x:c r="H1" s="252"/>
    </x:row>
    <x:row r="3">
      <x:c r="A3" s="261" t="str">
        <x:v>Inherited compact fixed-T/S carbonate + OAE surface-ocean screen, now driven by archived FaIR median atmospheric CO2 rather than the superseded Joos concentration trajectory.</x:v>
      </x:c>
      <x:c r="B3" s="261"/>
      <x:c r="C3" s="261"/>
      <x:c r="D3" s="261"/>
      <x:c r="E3" s="261"/>
      <x:c r="F3" s="261"/>
      <x:c r="G3" s="261"/>
      <x:c r="H3" s="261"/>
    </x:row>
    <x:row r="5">
      <x:c r="A5" s="256" t="str">
        <x:v>Ocean-chemistry metric</x:v>
      </x:c>
      <x:c r="B5" s="256" t="str">
        <x:v>Value</x:v>
      </x:c>
      <x:c r="C5" s="256" t="str">
        <x:v>Unit/status</x:v>
      </x:c>
      <x:c r="D5" s="256" t="str">
        <x:v>Interpretation</x:v>
      </x:c>
      <x:c r="F5" s="250" t="str">
        <x:v>Use the FaIR-driven pH trajectory as the current V59 surface-ocean screening result. Do not claim global-ocean restoration from this compact mixed-layer model; full CO2SYS/PyCO2SYS, regional temperature/salinity and depth-resolved carbonate chemistry remain external validation needs.</x:v>
      </x:c>
      <x:c r="G5" s="250"/>
      <x:c r="H5" s="250"/>
      <x:c r="I5" s="250"/>
      <x:c r="J5" s="250"/>
      <x:c r="K5" s="250"/>
      <x:c r="L5" s="250"/>
    </x:row>
    <x:row r="6">
      <x:c r="A6" s="6" t="str">
        <x:v>pH in 2026</x:v>
      </x:c>
      <x:c r="B6" s="6" t="n">
        <x:v>8.0507</x:v>
      </x:c>
      <x:c r="C6" s="6" t="str">
        <x:v>pH</x:v>
      </x:c>
      <x:c r="D6" s="6" t="str">
        <x:v>Compact surface-ocean screen.</x:v>
      </x:c>
      <x:c r="F6" s="250"/>
      <x:c r="G6" s="250"/>
      <x:c r="H6" s="250"/>
      <x:c r="I6" s="250"/>
      <x:c r="J6" s="250"/>
      <x:c r="K6" s="250"/>
      <x:c r="L6" s="250"/>
    </x:row>
    <x:row r="7">
      <x:c r="A7" s="6" t="str">
        <x:v>Minimum pH</x:v>
      </x:c>
      <x:c r="B7" s="6" t="n">
        <x:v>8.0453</x:v>
      </x:c>
      <x:c r="C7" s="6" t="str">
        <x:v>in 2033</x:v>
      </x:c>
      <x:c r="D7" s="6" t="str">
        <x:v>Early acidification minimum under the external FaIR CO₂ path.</x:v>
      </x:c>
      <x:c r="F7" s="250"/>
      <x:c r="G7" s="250"/>
      <x:c r="H7" s="250"/>
      <x:c r="I7" s="250"/>
      <x:c r="J7" s="250"/>
      <x:c r="K7" s="250"/>
      <x:c r="L7" s="250"/>
    </x:row>
    <x:row r="8">
      <x:c r="A8" s="6" t="str">
        <x:v>Recovery to pH 8.10</x:v>
      </x:c>
      <x:c r="B8" s="6" t="n">
        <x:v>2090</x:v>
      </x:c>
      <x:c r="C8" s="6" t="str">
        <x:v>year</x:v>
      </x:c>
      <x:c r="D8" s="6" t="str">
        <x:v>Current V59 FaIR-driven screen.</x:v>
      </x:c>
      <x:c r="F8" s="250"/>
      <x:c r="G8" s="250"/>
      <x:c r="H8" s="250"/>
      <x:c r="I8" s="250"/>
      <x:c r="J8" s="250"/>
      <x:c r="K8" s="250"/>
      <x:c r="L8" s="250"/>
    </x:row>
    <x:row r="9">
      <x:c r="A9" s="6" t="str">
        <x:v>Recovery to pH 8.15</x:v>
      </x:c>
      <x:c r="B9" s="6" t="n">
        <x:v>2312</x:v>
      </x:c>
      <x:c r="C9" s="6" t="str">
        <x:v>year</x:v>
      </x:c>
      <x:c r="D9" s="6" t="str">
        <x:v>Current V59 FaIR-driven screen.</x:v>
      </x:c>
    </x:row>
    <x:row r="10">
      <x:c r="A10" s="6" t="str">
        <x:v>Recovery to pH 8.17</x:v>
      </x:c>
      <x:c r="B10" s="6" t="str">
        <x:v>NOT BY 2400</x:v>
      </x:c>
      <x:c r="C10" s="6" t="str">
        <x:v>year/status</x:v>
      </x:c>
      <x:c r="D10" s="6" t="str">
        <x:v>Preindustrial-like threshold is not reached within archived FaIR horizon.</x:v>
      </x:c>
    </x:row>
    <x:row r="11">
      <x:c r="A11" s="6" t="str">
        <x:v>pH at canonical final 2183 flux</x:v>
      </x:c>
      <x:c r="B11" s="6" t="n">
        <x:v>8.1415</x:v>
      </x:c>
      <x:c r="C11" s="6" t="str">
        <x:v>pH</x:v>
      </x:c>
      <x:c r="D11" s="6" t="str">
        <x:v>Atmospheric driver remains well above 280 ppm.</x:v>
      </x:c>
    </x:row>
    <x:row r="12">
      <x:c r="A12" s="6" t="str">
        <x:v>pH at FaIR 2400 timebound</x:v>
      </x:c>
      <x:c r="B12" s="6" t="n">
        <x:v>8.1563</x:v>
      </x:c>
      <x:c r="C12" s="6" t="str">
        <x:v>pH</x:v>
      </x:c>
      <x:c r="D12" s="6" t="str">
        <x:v>Current V59 endpoint.</x:v>
      </x:c>
    </x:row>
    <x:row r="13">
      <x:c r="A13" s="6" t="str">
        <x:v>pH at FaIR 2400 without OAE</x:v>
      </x:c>
      <x:c r="B13" s="6" t="n">
        <x:v>8.1563</x:v>
      </x:c>
      <x:c r="C13" s="6" t="str">
        <x:v>pH</x:v>
      </x:c>
      <x:c r="D13" s="6" t="str">
        <x:v>Shows contribution of inherited OAE alkalinity pathway.</x:v>
      </x:c>
    </x:row>
    <x:row r="14">
      <x:c r="A14" s="6" t="str">
        <x:v>Legacy internal pH at internal &lt;=280</x:v>
      </x:c>
      <x:c r="B14" s="6" t="n">
        <x:v>8.1718</x:v>
      </x:c>
      <x:c r="C14" s="6" t="str">
        <x:v>DIAGNOSTIC ONLY</x:v>
      </x:c>
      <x:c r="D14" s="6" t="str">
        <x:v>Retained for lineage; superseded CO₂ driver.</x:v>
      </x:c>
    </x:row>
    <x:row r="17">
      <x:c r="A17" s="256" t="str">
        <x:v>year</x:v>
      </x:c>
      <x:c r="B17" s="256" t="str">
        <x:v>surface pH with OAE</x:v>
      </x:c>
      <x:c r="C17" s="256" t="str">
        <x:v>surface pH without OAE</x:v>
      </x:c>
      <x:c r="D17" s="256" t="str">
        <x:v>total alkalinity (umol/kg)</x:v>
      </x:c>
    </x:row>
    <x:row r="18">
      <x:c r="A18" s="6" t="n">
        <x:v>2026</x:v>
      </x:c>
      <x:c r="B18" s="6" t="n">
        <x:v>8.05071</x:v>
      </x:c>
      <x:c r="C18" s="6" t="n">
        <x:v>8.05071</x:v>
      </x:c>
      <x:c r="D18" s="6" t="n">
        <x:v>2300</x:v>
      </x:c>
    </x:row>
    <x:row r="19">
      <x:c r="A19" s="6" t="n">
        <x:v>2030</x:v>
      </x:c>
      <x:c r="B19" s="6" t="n">
        <x:v>8.04618</x:v>
      </x:c>
      <x:c r="C19" s="6" t="n">
        <x:v>8.04613</x:v>
      </x:c>
      <x:c r="D19" s="6" t="n">
        <x:v>2300.39</x:v>
      </x:c>
    </x:row>
    <x:row r="20">
      <x:c r="A20" s="6" t="n">
        <x:v>2040</x:v>
      </x:c>
      <x:c r="B20" s="6" t="n">
        <x:v>8.05084</x:v>
      </x:c>
      <x:c r="C20" s="6" t="n">
        <x:v>8.05038</x:v>
      </x:c>
      <x:c r="D20" s="6" t="n">
        <x:v>2303.53</x:v>
      </x:c>
    </x:row>
    <x:row r="21">
      <x:c r="A21" s="6" t="n">
        <x:v>2050</x:v>
      </x:c>
      <x:c r="B21" s="6" t="n">
        <x:v>8.06464</x:v>
      </x:c>
      <x:c r="C21" s="6" t="n">
        <x:v>8.06363</x:v>
      </x:c>
      <x:c r="D21" s="6" t="n">
        <x:v>2307.71</x:v>
      </x:c>
    </x:row>
    <x:row r="22">
      <x:c r="A22" s="6" t="n">
        <x:v>2060</x:v>
      </x:c>
      <x:c r="B22" s="6" t="n">
        <x:v>8.07547</x:v>
      </x:c>
      <x:c r="C22" s="6" t="n">
        <x:v>8.07412</x:v>
      </x:c>
      <x:c r="D22" s="6" t="n">
        <x:v>2310.32</x:v>
      </x:c>
    </x:row>
    <x:row r="23">
      <x:c r="A23" s="6" t="n">
        <x:v>2070</x:v>
      </x:c>
      <x:c r="B23" s="6" t="n">
        <x:v>8.08451</x:v>
      </x:c>
      <x:c r="C23" s="6" t="n">
        <x:v>8.08296</x:v>
      </x:c>
      <x:c r="D23" s="6" t="n">
        <x:v>2311.91</x:v>
      </x:c>
    </x:row>
    <x:row r="24">
      <x:c r="A24" s="6" t="n">
        <x:v>2080</x:v>
      </x:c>
      <x:c r="B24" s="6" t="n">
        <x:v>8.09257</x:v>
      </x:c>
      <x:c r="C24" s="6" t="n">
        <x:v>8.0909</x:v>
      </x:c>
      <x:c r="D24" s="6" t="n">
        <x:v>2312.87</x:v>
      </x:c>
    </x:row>
    <x:row r="25">
      <x:c r="A25" s="6" t="n">
        <x:v>2090</x:v>
      </x:c>
      <x:c r="B25" s="6" t="n">
        <x:v>8.10005</x:v>
      </x:c>
      <x:c r="C25" s="6" t="n">
        <x:v>8.09832</x:v>
      </x:c>
      <x:c r="D25" s="6" t="n">
        <x:v>2313.45</x:v>
      </x:c>
    </x:row>
    <x:row r="26">
      <x:c r="A26" s="6" t="n">
        <x:v>2100</x:v>
      </x:c>
      <x:c r="B26" s="6" t="n">
        <x:v>8.10715</x:v>
      </x:c>
      <x:c r="C26" s="6" t="n">
        <x:v>8.10537</x:v>
      </x:c>
      <x:c r="D26" s="6" t="n">
        <x:v>2313.81</x:v>
      </x:c>
    </x:row>
    <x:row r="27">
      <x:c r="A27" s="6" t="n">
        <x:v>2110</x:v>
      </x:c>
      <x:c r="B27" s="6" t="n">
        <x:v>8.11399</x:v>
      </x:c>
      <x:c r="C27" s="6" t="n">
        <x:v>8.11219</x:v>
      </x:c>
      <x:c r="D27" s="6" t="n">
        <x:v>2314.02</x:v>
      </x:c>
    </x:row>
    <x:row r="28">
      <x:c r="A28" s="6" t="n">
        <x:v>2120</x:v>
      </x:c>
      <x:c r="B28" s="6" t="n">
        <x:v>8.1206</x:v>
      </x:c>
      <x:c r="C28" s="6" t="n">
        <x:v>8.11879</x:v>
      </x:c>
      <x:c r="D28" s="6" t="n">
        <x:v>2314.15</x:v>
      </x:c>
    </x:row>
    <x:row r="29">
      <x:c r="A29" s="6" t="n">
        <x:v>2130</x:v>
      </x:c>
      <x:c r="B29" s="6" t="n">
        <x:v>8.12701</x:v>
      </x:c>
      <x:c r="C29" s="6" t="n">
        <x:v>8.12519</x:v>
      </x:c>
      <x:c r="D29" s="6" t="n">
        <x:v>2314.23</x:v>
      </x:c>
    </x:row>
    <x:row r="30">
      <x:c r="A30" s="6" t="n">
        <x:v>2140</x:v>
      </x:c>
      <x:c r="B30" s="6" t="n">
        <x:v>8.13319</x:v>
      </x:c>
      <x:c r="C30" s="6" t="n">
        <x:v>8.13137</x:v>
      </x:c>
      <x:c r="D30" s="6" t="n">
        <x:v>2314.28</x:v>
      </x:c>
    </x:row>
    <x:row r="31">
      <x:c r="A31" s="6" t="n">
        <x:v>2150</x:v>
      </x:c>
      <x:c r="B31" s="6" t="n">
        <x:v>8.1392</x:v>
      </x:c>
      <x:c r="C31" s="6" t="n">
        <x:v>8.13737</x:v>
      </x:c>
      <x:c r="D31" s="6" t="n">
        <x:v>2314.31</x:v>
      </x:c>
    </x:row>
    <x:row r="32">
      <x:c r="A32" s="6" t="n">
        <x:v>2160</x:v>
      </x:c>
      <x:c r="B32" s="6" t="n">
        <x:v>8.1417</x:v>
      </x:c>
      <x:c r="C32" s="6" t="n">
        <x:v>8.14007</x:v>
      </x:c>
      <x:c r="D32" s="6" t="n">
        <x:v>2312.79</x:v>
      </x:c>
    </x:row>
    <x:row r="33">
      <x:c r="A33" s="6" t="n">
        <x:v>2170</x:v>
      </x:c>
      <x:c r="B33" s="6" t="n">
        <x:v>8.14133</x:v>
      </x:c>
      <x:c r="C33" s="6" t="n">
        <x:v>8.14005</x:v>
      </x:c>
      <x:c r="D33" s="6" t="n">
        <x:v>2310.08</x:v>
      </x:c>
    </x:row>
    <x:row r="34">
      <x:c r="A34" s="6" t="n">
        <x:v>2180</x:v>
      </x:c>
      <x:c r="B34" s="6" t="n">
        <x:v>8.14145</x:v>
      </x:c>
      <x:c r="C34" s="6" t="n">
        <x:v>8.1404</x:v>
      </x:c>
      <x:c r="D34" s="6" t="n">
        <x:v>2308.22</x:v>
      </x:c>
    </x:row>
    <x:row r="35">
      <x:c r="A35" s="6" t="n">
        <x:v>2190</x:v>
      </x:c>
      <x:c r="B35" s="6" t="n">
        <x:v>8.14159</x:v>
      </x:c>
      <x:c r="C35" s="6" t="n">
        <x:v>8.14089</x:v>
      </x:c>
      <x:c r="D35" s="6" t="n">
        <x:v>2305.48</x:v>
      </x:c>
    </x:row>
    <x:row r="36">
      <x:c r="A36" s="6" t="n">
        <x:v>2200</x:v>
      </x:c>
      <x:c r="B36" s="6" t="n">
        <x:v>8.14198</x:v>
      </x:c>
      <x:c r="C36" s="6" t="n">
        <x:v>8.14155</x:v>
      </x:c>
      <x:c r="D36" s="6" t="n">
        <x:v>2303.32</x:v>
      </x:c>
    </x:row>
    <x:row r="37">
      <x:c r="A37" s="6" t="n">
        <x:v>2210</x:v>
      </x:c>
      <x:c r="B37" s="6" t="n">
        <x:v>8.14256</x:v>
      </x:c>
      <x:c r="C37" s="6" t="n">
        <x:v>8.1423</x:v>
      </x:c>
      <x:c r="D37" s="6" t="n">
        <x:v>2302.02</x:v>
      </x:c>
    </x:row>
    <x:row r="38">
      <x:c r="A38" s="6" t="n">
        <x:v>2220</x:v>
      </x:c>
      <x:c r="B38" s="6" t="n">
        <x:v>8.1432</x:v>
      </x:c>
      <x:c r="C38" s="6" t="n">
        <x:v>8.14304</x:v>
      </x:c>
      <x:c r="D38" s="6" t="n">
        <x:v>2301.22</x:v>
      </x:c>
    </x:row>
    <x:row r="39">
      <x:c r="A39" s="6" t="n">
        <x:v>2230</x:v>
      </x:c>
      <x:c r="B39" s="6" t="n">
        <x:v>8.14389</x:v>
      </x:c>
      <x:c r="C39" s="6" t="n">
        <x:v>8.1438</x:v>
      </x:c>
      <x:c r="D39" s="6" t="n">
        <x:v>2300.74</x:v>
      </x:c>
    </x:row>
    <x:row r="40">
      <x:c r="A40" s="6" t="n">
        <x:v>2240</x:v>
      </x:c>
      <x:c r="B40" s="6" t="n">
        <x:v>8.14467</x:v>
      </x:c>
      <x:c r="C40" s="6" t="n">
        <x:v>8.14461</x:v>
      </x:c>
      <x:c r="D40" s="6" t="n">
        <x:v>2300.45</x:v>
      </x:c>
    </x:row>
    <x:row r="41">
      <x:c r="A41" s="6" t="n">
        <x:v>2250</x:v>
      </x:c>
      <x:c r="B41" s="6" t="n">
        <x:v>8.14538</x:v>
      </x:c>
      <x:c r="C41" s="6" t="n">
        <x:v>8.14534</x:v>
      </x:c>
      <x:c r="D41" s="6" t="n">
        <x:v>2300.27</x:v>
      </x:c>
    </x:row>
    <x:row r="42">
      <x:c r="A42" s="6" t="n">
        <x:v>2260</x:v>
      </x:c>
      <x:c r="B42" s="6" t="n">
        <x:v>8.14615</x:v>
      </x:c>
      <x:c r="C42" s="6" t="n">
        <x:v>8.14613</x:v>
      </x:c>
      <x:c r="D42" s="6" t="n">
        <x:v>2300.17</x:v>
      </x:c>
    </x:row>
    <x:row r="43">
      <x:c r="A43" s="6" t="n">
        <x:v>2270</x:v>
      </x:c>
      <x:c r="B43" s="6" t="n">
        <x:v>8.14688</x:v>
      </x:c>
      <x:c r="C43" s="6" t="n">
        <x:v>8.14687</x:v>
      </x:c>
      <x:c r="D43" s="6" t="n">
        <x:v>2300.1</x:v>
      </x:c>
    </x:row>
    <x:row r="44">
      <x:c r="A44" s="6" t="n">
        <x:v>2280</x:v>
      </x:c>
      <x:c r="B44" s="6" t="n">
        <x:v>8.14764</x:v>
      </x:c>
      <x:c r="C44" s="6" t="n">
        <x:v>8.14763</x:v>
      </x:c>
      <x:c r="D44" s="6" t="n">
        <x:v>2300.06</x:v>
      </x:c>
    </x:row>
    <x:row r="45">
      <x:c r="A45" s="6" t="n">
        <x:v>2290</x:v>
      </x:c>
      <x:c r="B45" s="6" t="n">
        <x:v>8.14838</x:v>
      </x:c>
      <x:c r="C45" s="6" t="n">
        <x:v>8.14837</x:v>
      </x:c>
      <x:c r="D45" s="6" t="n">
        <x:v>2300.04</x:v>
      </x:c>
    </x:row>
    <x:row r="46">
      <x:c r="A46" s="6" t="n">
        <x:v>2300</x:v>
      </x:c>
      <x:c r="B46" s="6" t="n">
        <x:v>8.14913</x:v>
      </x:c>
      <x:c r="C46" s="6" t="n">
        <x:v>8.14913</x:v>
      </x:c>
      <x:c r="D46" s="6" t="n">
        <x:v>2300.02</x:v>
      </x:c>
    </x:row>
    <x:row r="47">
      <x:c r="A47" s="6" t="n">
        <x:v>2310</x:v>
      </x:c>
      <x:c r="B47" s="6" t="n">
        <x:v>8.14986</x:v>
      </x:c>
      <x:c r="C47" s="6" t="n">
        <x:v>8.14986</x:v>
      </x:c>
      <x:c r="D47" s="6" t="n">
        <x:v>2300.01</x:v>
      </x:c>
    </x:row>
    <x:row r="48">
      <x:c r="A48" s="6" t="n">
        <x:v>2320</x:v>
      </x:c>
      <x:c r="B48" s="6" t="n">
        <x:v>8.15057</x:v>
      </x:c>
      <x:c r="C48" s="6" t="n">
        <x:v>8.15057</x:v>
      </x:c>
      <x:c r="D48" s="6" t="n">
        <x:v>2300.01</x:v>
      </x:c>
    </x:row>
    <x:row r="49">
      <x:c r="A49" s="6" t="n">
        <x:v>2330</x:v>
      </x:c>
      <x:c r="B49" s="6" t="n">
        <x:v>8.15131</x:v>
      </x:c>
      <x:c r="C49" s="6" t="n">
        <x:v>8.15131</x:v>
      </x:c>
      <x:c r="D49" s="6" t="n">
        <x:v>2300</x:v>
      </x:c>
    </x:row>
    <x:row r="50">
      <x:c r="A50" s="6" t="n">
        <x:v>2340</x:v>
      </x:c>
      <x:c r="B50" s="6" t="n">
        <x:v>8.15205</x:v>
      </x:c>
      <x:c r="C50" s="6" t="n">
        <x:v>8.15205</x:v>
      </x:c>
      <x:c r="D50" s="6" t="n">
        <x:v>2300</x:v>
      </x:c>
    </x:row>
    <x:row r="51">
      <x:c r="A51" s="6" t="n">
        <x:v>2350</x:v>
      </x:c>
      <x:c r="B51" s="6" t="n">
        <x:v>8.15278</x:v>
      </x:c>
      <x:c r="C51" s="6" t="n">
        <x:v>8.15278</x:v>
      </x:c>
      <x:c r="D51" s="6" t="n">
        <x:v>2300</x:v>
      </x:c>
    </x:row>
    <x:row r="52">
      <x:c r="A52" s="6" t="n">
        <x:v>2360</x:v>
      </x:c>
      <x:c r="B52" s="6" t="n">
        <x:v>8.1535</x:v>
      </x:c>
      <x:c r="C52" s="6" t="n">
        <x:v>8.1535</x:v>
      </x:c>
      <x:c r="D52" s="6" t="n">
        <x:v>2300</x:v>
      </x:c>
    </x:row>
    <x:row r="53">
      <x:c r="A53" s="6" t="n">
        <x:v>2370</x:v>
      </x:c>
      <x:c r="B53" s="6" t="n">
        <x:v>8.15423</x:v>
      </x:c>
      <x:c r="C53" s="6" t="n">
        <x:v>8.15423</x:v>
      </x:c>
      <x:c r="D53" s="6" t="n">
        <x:v>2300</x:v>
      </x:c>
    </x:row>
    <x:row r="54">
      <x:c r="A54" s="6" t="n">
        <x:v>2380</x:v>
      </x:c>
      <x:c r="B54" s="6" t="n">
        <x:v>8.15495</x:v>
      </x:c>
      <x:c r="C54" s="6" t="n">
        <x:v>8.15495</x:v>
      </x:c>
      <x:c r="D54" s="6" t="n">
        <x:v>2300</x:v>
      </x:c>
    </x:row>
    <x:row r="55">
      <x:c r="A55" s="6" t="n">
        <x:v>2390</x:v>
      </x:c>
      <x:c r="B55" s="6" t="n">
        <x:v>8.15566</x:v>
      </x:c>
      <x:c r="C55" s="6" t="n">
        <x:v>8.15566</x:v>
      </x:c>
      <x:c r="D55" s="6" t="n">
        <x:v>2300</x:v>
      </x:c>
    </x:row>
    <x:row r="56">
      <x:c r="A56" s="6" t="n">
        <x:v>2399</x:v>
      </x:c>
      <x:c r="B56" s="6" t="n">
        <x:v>8.15631</x:v>
      </x:c>
      <x:c r="C56" s="6" t="n">
        <x:v>8.15631</x:v>
      </x:c>
      <x:c r="D56" s="6" t="n">
        <x:v>2300</x:v>
      </x:c>
    </x:row>
  </x:sheetData>
  <x:mergeCells>
    <x:mergeCell ref="A1:H1"/>
    <x:mergeCell ref="A3:H3"/>
    <x:mergeCell ref="F5:L8"/>
  </x:mergeCells>
  <x:pageMargins left="0.7" right="0.7" top="0.75" bottom="0.75" header="0.3" footer="0.3"/>
  <x:drawing xmlns:r="http://schemas.openxmlformats.org/officeDocument/2006/relationships" r:id="R861725261d65409a"/>
</x:worksheet>
</file>

<file path=xl/worksheets/sheet7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  <x:col min="3" max="3" width="86" hidden="0" customWidth="1"/>
    <x:col min="4" max="4" width="34" hidden="0" customWidth="1"/>
  </x:cols>
  <x:sheetData>
    <x:row r="1">
      <x:c r="A1" s="269" t="str">
        <x:v>HISTORICAL V59.0 SHEET — retained for lineage only. Use V59.1 current sheets and README_V59_1.md.</x:v>
      </x:c>
      <x:c r="B1" s="252"/>
      <x:c r="C1" s="252"/>
      <x:c r="D1" s="252"/>
    </x:row>
    <x:row r="3">
      <x:c r="A3" s="256" t="str">
        <x:v>Source</x:v>
      </x:c>
      <x:c r="B3" s="256" t="str">
        <x:v>V59 use</x:v>
      </x:c>
      <x:c r="C3" s="256" t="str">
        <x:v>URL / path</x:v>
      </x:c>
      <x:c r="D3" s="256" t="str">
        <x:v>Treatment</x:v>
      </x:c>
    </x:row>
    <x:row r="4">
      <x:c r="A4" s="6" t="str">
        <x:v>IPCC AR6 WGI Chapter 9</x:v>
      </x:c>
      <x:c r="B4" s="6" t="str">
        <x:v>Sea-level assessment context and long-term commitment</x:v>
      </x:c>
      <x:c r="C4" s="6" t="str">
        <x:v>https://www.ipcc.ch/report/ar6/wg1/chapter/chapter-9/</x:v>
      </x:c>
      <x:c r="D4" s="6" t="str">
        <x:v>External assessment / sanity check</x:v>
      </x:c>
    </x:row>
    <x:row r="5">
      <x:c r="A5" s="6" t="str">
        <x:v>Mengel et al. 2016, PNAS</x:v>
      </x:c>
      <x:c r="B5" s="6" t="str">
        <x:v>Pursuit-curve sea-level component methodology and parameter ranges</x:v>
      </x:c>
      <x:c r="C5" s="6" t="str">
        <x:v>https://doi.org/10.1073/pnas.1500515113</x:v>
      </x:c>
      <x:c r="D5" s="6" t="str">
        <x:v>Method basis</x:v>
      </x:c>
    </x:row>
    <x:row r="6">
      <x:c r="A6" s="6" t="str">
        <x:v>Mengel sea-level code</x:v>
      </x:c>
      <x:c r="B6" s="6" t="str">
        <x:v>Open reference implementation for component-response framework</x:v>
      </x:c>
      <x:c r="C6" s="6" t="str">
        <x:v>https://github.com/matthiasmengel/sealevel</x:v>
      </x:c>
      <x:c r="D6" s="6" t="str">
        <x:v>Method transparency</x:v>
      </x:c>
    </x:row>
    <x:row r="7">
      <x:c r="A7" s="6" t="str">
        <x:v>NASA Sea Level indicator</x:v>
      </x:c>
      <x:c r="B7" s="6" t="str">
        <x:v>2026 observational GMSL context</x:v>
      </x:c>
      <x:c r="C7" s="6" t="str">
        <x:v>https://science.nasa.gov/earth/explore/earth-indicators/sea-leve/</x:v>
      </x:c>
      <x:c r="D7" s="6" t="str">
        <x:v>Observed context</x:v>
      </x:c>
    </x:row>
    <x:row r="8">
      <x:c r="A8" s="6" t="str">
        <x:v>NASA sea-level lag FAQ</x:v>
      </x:c>
      <x:c r="B8" s="6" t="str">
        <x:v>Long ice-sheet/sea-level lag context</x:v>
      </x:c>
      <x:c r="C8" s="6" t="str">
        <x:v>https://sealevel.nasa.gov/faq/13/how-long-have-sea-levels-been-rising-how-does-recent-sea-level-rise-compare-to-that-over-the-previous/</x:v>
      </x:c>
      <x:c r="D8" s="6" t="str">
        <x:v>Physical context</x:v>
      </x:c>
    </x:row>
    <x:row r="9">
      <x:c r="A9" s="6" t="str">
        <x:v>Archived FaIR 2.2.4 results</x:v>
      </x:c>
      <x:c r="B9" s="6" t="str">
        <x:v>Temperature p05/p50/p95 and CO₂ p50 drivers</x:v>
      </x:c>
      <x:c r="C9" s="6" t="str">
        <x:v>external_validation_results/fair-v2.2.4-results.zip</x:v>
      </x:c>
      <x:c r="D9" s="6" t="str">
        <x:v>Primary external trajectory input</x:v>
      </x:c>
    </x:row>
    <x:row r="10">
      <x:c r="A10" s="6" t="str">
        <x:v>V53.1 ocean chemistry lineage</x:v>
      </x:c>
      <x:c r="B10" s="6" t="str">
        <x:v>Compact surface carbonate/OAE chemistry</x:v>
      </x:c>
      <x:c r="C10" s="6" t="str">
        <x:v>previous_branches/planetary_restoration_model_v53_1.py</x:v>
      </x:c>
      <x:c r="D10" s="6" t="str">
        <x:v>Inherited screening chemistry</x:v>
      </x:c>
    </x:row>
    <x:row r="11">
      <x:c r="A11" s="6" t="str">
        <x:v>NOAA ocean acidification overview</x:v>
      </x:c>
      <x:c r="B11" s="6" t="str">
        <x:v>Ocean acidification scientific context</x:v>
      </x:c>
      <x:c r="C11" s="6" t="str">
        <x:v>https://www.noaa.gov/education/resource-collections/ocean-coasts/ocean-acidification</x:v>
      </x:c>
      <x:c r="D11" s="6" t="str">
        <x:v>External context</x:v>
      </x:c>
    </x:row>
  </x:sheetData>
  <x:mergeCells>
    <x:mergeCell ref="A1:D1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9" hidden="0" customWidth="1"/>
    <x:col min="3" max="3" width="68" hidden="0" customWidth="1"/>
    <x:col min="4" max="4" width="5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71" t="str">
        <x:v>V59.1 canonical sink-response interpretation</x:v>
      </x:c>
      <x:c r="B1" s="271"/>
      <x:c r="C1" s="271"/>
      <x:c r="D1" s="271"/>
      <x:c r="E1" s="271"/>
      <x:c r="F1" s="271"/>
      <x:c r="G1" s="271"/>
      <x:c r="H1" s="271"/>
    </x:row>
    <x:row r="3">
      <x:c r="A3" s="279" t="str">
        <x:v>Apparent atmospheric response is atmospheric CO2 stock decline divided by cumulative net anthropogenic removal after the first net-negative year. It can exceed unity early because legacy natural land/ocean uptake continues in parallel; as those sinks weaken and reverse, the ratio falls. The metric is path-dependent and is not a universal marginal removal efficiency.</x:v>
      </x:c>
      <x:c r="B3" s="279"/>
      <x:c r="C3" s="279"/>
      <x:c r="D3" s="279"/>
      <x:c r="E3" s="279"/>
      <x:c r="F3" s="279"/>
      <x:c r="G3" s="279"/>
      <x:c r="H3" s="279"/>
    </x:row>
    <x:row r="4">
      <x:c r="A4" s="279"/>
      <x:c r="B4" s="279"/>
      <x:c r="C4" s="279"/>
      <x:c r="D4" s="279"/>
      <x:c r="E4" s="279"/>
      <x:c r="F4" s="279"/>
      <x:c r="G4" s="279"/>
      <x:c r="H4" s="279"/>
    </x:row>
    <x:row r="5">
      <x:c r="A5" s="279"/>
      <x:c r="B5" s="279"/>
      <x:c r="C5" s="279"/>
      <x:c r="D5" s="279"/>
      <x:c r="E5" s="279"/>
      <x:c r="F5" s="279"/>
      <x:c r="G5" s="279"/>
      <x:c r="H5" s="279"/>
    </x:row>
    <x:row r="8">
      <x:c r="A8" s="282" t="str">
        <x:v>archived_concentration_percentile_curve</x:v>
      </x:c>
      <x:c r="B8" s="282" t="str">
        <x:v>start_ppm_at_first_negative_year_timebound</x:v>
      </x:c>
      <x:c r="C8" s="282" t="str">
        <x:v>end_ppm_after_final_canonical_flux</x:v>
      </x:c>
      <x:c r="D8" s="282" t="str">
        <x:v>cumulative_drawdown_ppm</x:v>
      </x:c>
      <x:c r="E8" s="282" t="str">
        <x:v>apparent_atmospheric_response_fraction</x:v>
      </x:c>
    </x:row>
    <x:row r="9">
      <x:c r="A9" s="6" t="str">
        <x:v>p05</x:v>
      </x:c>
      <x:c r="B9" s="6" t="n">
        <x:v>425.8274524867071</x:v>
      </x:c>
      <x:c r="C9" s="6" t="n">
        <x:v>308.6023612099468</x:v>
      </x:c>
      <x:c r="D9" s="6" t="n">
        <x:v>117.22509127676028</x:v>
      </x:c>
      <x:c r="E9" s="6" t="n">
        <x:v>0.5677553952595099</x:v>
      </x:c>
    </x:row>
    <x:row r="10">
      <x:c r="A10" s="6" t="str">
        <x:v>p50</x:v>
      </x:c>
      <x:c r="B10" s="6" t="n">
        <x:v>431.3443428826747</x:v>
      </x:c>
      <x:c r="C10" s="6" t="n">
        <x:v>311.4043049227279</x:v>
      </x:c>
      <x:c r="D10" s="6" t="n">
        <x:v>119.94003795994684</x:v>
      </x:c>
      <x:c r="E10" s="6" t="n">
        <x:v>0.5809046759334049</x:v>
      </x:c>
    </x:row>
    <x:row r="11">
      <x:c r="A11" s="6" t="str">
        <x:v>p95</x:v>
      </x:c>
      <x:c r="B11" s="6" t="n">
        <x:v>435.28457994259406</x:v>
      </x:c>
      <x:c r="C11" s="6" t="n">
        <x:v>314.04746553821883</x:v>
      </x:c>
      <x:c r="D11" s="6" t="n">
        <x:v>121.23711440437523</x:v>
      </x:c>
      <x:c r="E11" s="6" t="n">
        <x:v>0.5871867964365113</x:v>
      </x:c>
    </x:row>
    <x:row r="14">
      <x:c r="A14" s="282" t="str">
        <x:v>Uncertainty item</x:v>
      </x:c>
      <x:c r="B14" s="282" t="str">
        <x:v>Status</x:v>
      </x:c>
      <x:c r="C14" s="282" t="str">
        <x:v>Meaning</x:v>
      </x:c>
      <x:c r="D14" s="282" t="str">
        <x:v>Next action</x:v>
      </x:c>
    </x:row>
    <x:row r="15">
      <x:c r="A15" t="str">
        <x:v>Endpoint envelope</x:v>
      </x:c>
      <x:c r="B15" t="str">
        <x:v>AGGREGATE CURVES</x:v>
      </x:c>
      <x:c r="C15" t="str">
        <x:v>56.8%–58.7%</x:v>
      </x:c>
      <x:c r="D15" t="str">
        <x:v>Use only as aggregate concentration-percentile envelope.</x:v>
      </x:c>
    </x:row>
    <x:row r="16">
      <x:c r="A16" t="str">
        <x:v>Per-configuration response distribution</x:v>
      </x:c>
      <x:c r="B16" t="str">
        <x:v>OPEN</x:v>
      </x:c>
      <x:c r="C16" t="str">
        <x:v>Archived zip does not contain 841 individual concentration trajectories.</x:v>
      </x:c>
      <x:c r="D16" t="str">
        <x:v>Rerun FaIR and archive every configuration trajectory.</x:v>
      </x:c>
    </x:row>
    <x:row r="17">
      <x:c r="A17" t="str">
        <x:v>Early response &gt;1</x:v>
      </x:c>
      <x:c r="B17" t="str">
        <x:v>EXPLAINED</x:v>
      </x:c>
      <x:c r="C17" t="str">
        <x:v>Natural sinks still add to atmospheric drawdown while denominator counts anthropogenic removal only.</x:v>
      </x:c>
      <x:c r="D17" t="str">
        <x:v>Caption included.</x:v>
      </x:c>
    </x:row>
    <x:row r="18">
      <x:c r="A18" t="str">
        <x:v>Novelty</x:v>
      </x:c>
      <x:c r="B18" t="str">
        <x:v>NOT sink reversal itself</x:v>
      </x:c>
      <x:c r="C18" t="str">
        <x:v>Sink weakening/reversal is established literature.</x:v>
      </x:c>
      <x:c r="D18" t="str">
        <x:v>Novelty depends on pathway-specific inverse burden + financeability.</x:v>
      </x:c>
    </x:row>
  </x:sheetData>
  <x:mergeCells>
    <x:mergeCell ref="A1:H1"/>
    <x:mergeCell ref="A3:H5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" hidden="0" customWidth="1"/>
    <x:col min="3" max="3" width="31" hidden="0" customWidth="1"/>
    <x:col min="4" max="4" width="31" hidden="0" customWidth="1"/>
    <x:col min="5" max="5" width="31" hidden="0" customWidth="1"/>
    <x:col min="6" max="6" width="20" hidden="0" customWidth="1"/>
    <x:col min="7" max="7" width="20" hidden="0" customWidth="1"/>
  </x:cols>
  <x:sheetData>
    <x:row r="1">
      <x:c r="A1" s="271" t="str">
        <x:v>V59.1 sea-level persistence — paper-facing archived FaIR horizon only</x:v>
      </x:c>
      <x:c r="B1" s="271"/>
      <x:c r="C1" s="271"/>
      <x:c r="D1" s="271"/>
      <x:c r="E1" s="271"/>
      <x:c r="F1" s="271"/>
      <x:c r="G1" s="271"/>
    </x:row>
    <x:row r="3">
      <x:c r="A3" s="285" t="str">
        <x:v>Paper claim is restricted to sea-level persistence through the archived FaIR horizon. The old post-2400 peak/return dates are excluded from the manuscript. Low/central/high are illustrative sensitivities, not calibrated uncertainty quantiles.</x:v>
      </x:c>
      <x:c r="B3" s="285"/>
      <x:c r="C3" s="285"/>
      <x:c r="D3" s="285"/>
      <x:c r="E3" s="285"/>
      <x:c r="F3" s="285"/>
      <x:c r="G3" s="285"/>
    </x:row>
    <x:row r="4">
      <x:c r="A4" s="285"/>
      <x:c r="B4" s="285"/>
      <x:c r="C4" s="285"/>
      <x:c r="D4" s="285"/>
      <x:c r="E4" s="285"/>
      <x:c r="F4" s="285"/>
      <x:c r="G4" s="285"/>
    </x:row>
    <x:row r="5">
      <x:c r="A5" s="285"/>
      <x:c r="B5" s="285"/>
      <x:c r="C5" s="285"/>
      <x:c r="D5" s="285"/>
      <x:c r="E5" s="285"/>
      <x:c r="F5" s="285"/>
      <x:c r="G5" s="285"/>
    </x:row>
    <x:row r="8">
      <x:c r="A8" s="282" t="str">
        <x:v>case</x:v>
      </x:c>
      <x:c r="B8" s="282" t="str">
        <x:v>year</x:v>
      </x:c>
      <x:c r="C8" s="282" t="str">
        <x:v>additional GMSL since 2026 (m)</x:v>
      </x:c>
      <x:c r="D8" s="282" t="str">
        <x:v>rate mm/yr</x:v>
      </x:c>
    </x:row>
    <x:row r="9">
      <x:c r="A9" s="6" t="str">
        <x:v>low</x:v>
      </x:c>
      <x:c r="B9" s="6" t="n">
        <x:v>2100</x:v>
      </x:c>
      <x:c r="C9" s="6" t="n">
        <x:v>0.1936</x:v>
      </x:c>
      <x:c r="D9" s="6" t="n">
        <x:v>1.94</x:v>
      </x:c>
    </x:row>
    <x:row r="10">
      <x:c r="A10" s="6" t="str">
        <x:v>low</x:v>
      </x:c>
      <x:c r="B10" s="6" t="n">
        <x:v>2300</x:v>
      </x:c>
      <x:c r="C10" s="6" t="n">
        <x:v>0.3403</x:v>
      </x:c>
      <x:c r="D10" s="6" t="n">
        <x:v>0.092</x:v>
      </x:c>
    </x:row>
    <x:row r="11">
      <x:c r="A11" s="6" t="str">
        <x:v>low</x:v>
      </x:c>
      <x:c r="B11" s="6" t="n">
        <x:v>2400</x:v>
      </x:c>
      <x:c r="C11" s="6" t="n">
        <x:v>0.3359</x:v>
      </x:c>
      <x:c r="D11" s="6" t="n">
        <x:v>-0.123</x:v>
      </x:c>
    </x:row>
    <x:row r="12">
      <x:c r="A12" s="6" t="str">
        <x:v>central</x:v>
      </x:c>
      <x:c r="B12" s="6" t="n">
        <x:v>2100</x:v>
      </x:c>
      <x:c r="C12" s="6" t="n">
        <x:v>0.3094</x:v>
      </x:c>
      <x:c r="D12" s="6" t="n">
        <x:v>3.504</x:v>
      </x:c>
    </x:row>
    <x:row r="13">
      <x:c r="A13" s="6" t="str">
        <x:v>central</x:v>
      </x:c>
      <x:c r="B13" s="6" t="n">
        <x:v>2300</x:v>
      </x:c>
      <x:c r="C13" s="6" t="n">
        <x:v>0.6585</x:v>
      </x:c>
      <x:c r="D13" s="6" t="n">
        <x:v>0.73</x:v>
      </x:c>
    </x:row>
    <x:row r="14">
      <x:c r="A14" s="6" t="str">
        <x:v>central</x:v>
      </x:c>
      <x:c r="B14" s="6" t="n">
        <x:v>2400</x:v>
      </x:c>
      <x:c r="C14" s="6" t="n">
        <x:v>0.7054</x:v>
      </x:c>
      <x:c r="D14" s="6" t="n">
        <x:v>0.281</x:v>
      </x:c>
    </x:row>
    <x:row r="15">
      <x:c r="A15" s="6" t="str">
        <x:v>high</x:v>
      </x:c>
      <x:c r="B15" s="6" t="n">
        <x:v>2100</x:v>
      </x:c>
      <x:c r="C15" s="6" t="n">
        <x:v>0.4758</x:v>
      </x:c>
      <x:c r="D15" s="6" t="n">
        <x:v>6.043</x:v>
      </x:c>
    </x:row>
    <x:row r="16">
      <x:c r="A16" s="6" t="str">
        <x:v>high</x:v>
      </x:c>
      <x:c r="B16" s="6" t="n">
        <x:v>2300</x:v>
      </x:c>
      <x:c r="C16" s="6" t="n">
        <x:v>1.2615</x:v>
      </x:c>
      <x:c r="D16" s="6" t="n">
        <x:v>2.462</x:v>
      </x:c>
    </x:row>
    <x:row r="17">
      <x:c r="A17" s="6" t="str">
        <x:v>high</x:v>
      </x:c>
      <x:c r="B17" s="6" t="n">
        <x:v>2400</x:v>
      </x:c>
      <x:c r="C17" s="6" t="n">
        <x:v>1.4556</x:v>
      </x:c>
      <x:c r="D17" s="6" t="n">
        <x:v>1.475</x:v>
      </x:c>
    </x:row>
    <x:row r="20">
      <x:c r="A20" s="273" t="str">
        <x:v>AR6 calibration / dispersion check</x:v>
      </x:c>
      <x:c r="B20" s="273"/>
      <x:c r="C20" s="273"/>
      <x:c r="D20" s="273"/>
      <x:c r="E20" s="273"/>
    </x:row>
    <x:row r="21">
      <x:c r="A21" s="282" t="str">
        <x:v>case</x:v>
      </x:c>
      <x:c r="B21" s="282" t="str">
        <x:v>approx_2100_rel_1995_2014_m</x:v>
      </x:c>
      <x:c r="C21" s="282" t="str">
        <x:v>within_ar6_ssp1_1_9_2100_likely</x:v>
      </x:c>
      <x:c r="D21" s="282" t="str">
        <x:v>approx_2300_rel_1995_2014_m</x:v>
      </x:c>
      <x:c r="E21" s="282" t="str">
        <x:v>within_ar6_ssp1_2_6_2300_assessed_range</x:v>
      </x:c>
    </x:row>
    <x:row r="22">
      <x:c r="A22" s="6" t="str">
        <x:v>low</x:v>
      </x:c>
      <x:c r="B22" s="6" t="n">
        <x:v>0.26356775851743797</x:v>
      </x:c>
      <x:c r="C22" s="173" t="b">
        <x:v>0</x:v>
      </x:c>
      <x:c r="D22" s="6" t="n">
        <x:v>0.4103269674861129</x:v>
      </x:c>
      <x:c r="E22" s="173" t="b">
        <x:v>1</x:v>
      </x:c>
    </x:row>
    <x:row r="23">
      <x:c r="A23" s="6" t="str">
        <x:v>central</x:v>
      </x:c>
      <x:c r="B23" s="6" t="n">
        <x:v>0.37935305873030495</x:v>
      </x:c>
      <x:c r="C23" s="173" t="b">
        <x:v>1</x:v>
      </x:c>
      <x:c r="D23" s="6" t="n">
        <x:v>0.7285029682470661</x:v>
      </x:c>
      <x:c r="E23" s="173" t="b">
        <x:v>1</x:v>
      </x:c>
    </x:row>
    <x:row r="24">
      <x:c r="A24" s="6" t="str">
        <x:v>high</x:v>
      </x:c>
      <x:c r="B24" s="6" t="n">
        <x:v>0.5458190948530222</x:v>
      </x:c>
      <x:c r="C24" s="173" t="b">
        <x:v>1</x:v>
      </x:c>
      <x:c r="D24" s="6" t="n">
        <x:v>1.331546221408855</x:v>
      </x:c>
      <x:c r="E24" s="173" t="b">
        <x:v>1</x:v>
      </x:c>
    </x:row>
    <x:row r="27">
      <x:c r="A27" s="279" t="str">
        <x:v>The simple V59 sensitivity cases are broadly compatible with the low-emissions AR6 range at 2100 and fall inside the very broad assessed 2300 range, but the V59 high case reaches only about 1.33 m relative to 1995–2014 by 2300 and therefore does not span the AR6 upper range of 3.1 m. The three V59 cases are illustrative sensitivities, not a calibrated uncertainty interval.</x:v>
      </x:c>
      <x:c r="B27" s="279"/>
      <x:c r="C27" s="279"/>
      <x:c r="D27" s="279"/>
      <x:c r="E27" s="279"/>
    </x:row>
    <x:row r="28">
      <x:c r="A28" s="279"/>
      <x:c r="B28" s="279"/>
      <x:c r="C28" s="279"/>
      <x:c r="D28" s="279"/>
      <x:c r="E28" s="279"/>
    </x:row>
    <x:row r="29">
      <x:c r="A29" s="279"/>
      <x:c r="B29" s="279"/>
      <x:c r="C29" s="279"/>
      <x:c r="D29" s="279"/>
      <x:c r="E29" s="279"/>
    </x:row>
    <x:row r="30">
      <x:c r="A30" s="279"/>
      <x:c r="B30" s="279"/>
      <x:c r="C30" s="279"/>
      <x:c r="D30" s="279"/>
      <x:c r="E30" s="279"/>
    </x:row>
  </x:sheetData>
  <x:mergeCells>
    <x:mergeCell ref="A1:G1"/>
    <x:mergeCell ref="A3:G5"/>
    <x:mergeCell ref="A20:E20"/>
    <x:mergeCell ref="A27:E30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70" hidden="0" customWidth="1"/>
    <x:col min="5" max="5" width="20" hidden="0" customWidth="1"/>
    <x:col min="6" max="6" width="20" hidden="0" customWidth="1"/>
  </x:cols>
  <x:sheetData>
    <x:row r="1">
      <x:c r="A1" s="271" t="str">
        <x:v>V59.1 ocean pH / OAE — supplementary fixed-T/S screen</x:v>
      </x:c>
      <x:c r="B1" s="271"/>
      <x:c r="C1" s="271"/>
      <x:c r="D1" s="271"/>
      <x:c r="E1" s="271"/>
      <x:c r="F1" s="271"/>
    </x:row>
    <x:row r="3">
      <x:c r="A3" s="285" t="str">
        <x:v>Report pH only to two decimals from this compact fixed-T/S screen. Report the OAE contribution as its peak increment (~0.002 pH units), not its nearly-decayed endpoint value. Do not publish exact 8.10/8.15/8.17 crossing years until temperature-coupled CO2SYS/PyCO2SYS is run.</x:v>
      </x:c>
      <x:c r="B3" s="285"/>
      <x:c r="C3" s="285"/>
      <x:c r="D3" s="285"/>
      <x:c r="E3" s="285"/>
      <x:c r="F3" s="285"/>
    </x:row>
    <x:row r="4">
      <x:c r="A4" s="285"/>
      <x:c r="B4" s="285"/>
      <x:c r="C4" s="285"/>
      <x:c r="D4" s="285"/>
      <x:c r="E4" s="285"/>
      <x:c r="F4" s="285"/>
    </x:row>
    <x:row r="5">
      <x:c r="A5" s="285"/>
      <x:c r="B5" s="285"/>
      <x:c r="C5" s="285"/>
      <x:c r="D5" s="285"/>
      <x:c r="E5" s="285"/>
      <x:c r="F5" s="285"/>
    </x:row>
    <x:row r="7">
      <x:c r="A7" s="282" t="str">
        <x:v>Metric</x:v>
      </x:c>
      <x:c r="B7" s="282" t="str">
        <x:v>Value</x:v>
      </x:c>
      <x:c r="C7" s="282" t="str">
        <x:v>Status</x:v>
      </x:c>
      <x:c r="D7" s="282" t="str">
        <x:v>Interpretation</x:v>
      </x:c>
    </x:row>
    <x:row r="8">
      <x:c r="A8" t="str">
        <x:v>Publication pH minimum</x:v>
      </x:c>
      <x:c r="B8" t="n">
        <x:v>8.05</x:v>
      </x:c>
      <x:c r="C8" t="str">
        <x:v>2 decimals</x:v>
      </x:c>
      <x:c r="D8" t="str">
        <x:v>Fixed-T/S chemistry.</x:v>
      </x:c>
    </x:row>
    <x:row r="9">
      <x:c r="A9" t="str">
        <x:v>Publication pH near FaIR 2400</x:v>
      </x:c>
      <x:c r="B9" t="n">
        <x:v>8.16</x:v>
      </x:c>
      <x:c r="C9" t="str">
        <x:v>2 decimals</x:v>
      </x:c>
      <x:c r="D9" t="str">
        <x:v>Exact 4-decimal value retained only in diagnostics.</x:v>
      </x:c>
    </x:row>
    <x:row r="10">
      <x:c r="A10" t="str">
        <x:v>Peak OAE pH increment</x:v>
      </x:c>
      <x:c r="B10" t="n">
        <x:v>0.0018</x:v>
      </x:c>
      <x:c r="C10" t="str">
        <x:v>in 2147</x:v>
      </x:c>
      <x:c r="D10" t="str">
        <x:v>Correct OAE surface diagnostic.</x:v>
      </x:c>
    </x:row>
    <x:row r="11">
      <x:c r="A11" t="str">
        <x:v>Peak OAE alkalinity anomaly</x:v>
      </x:c>
      <x:c r="B11" t="n">
        <x:v>14.3</x:v>
      </x:c>
      <x:c r="C11" t="str">
        <x:v>µmol/kg</x:v>
      </x:c>
      <x:c r="D11" t="str">
        <x:v>About 0.6% of 2300 µmol/kg baseline.</x:v>
      </x:c>
    </x:row>
    <x:row r="12">
      <x:c r="A12" t="str">
        <x:v>Peak OAE share of modeled recovery</x:v>
      </x:c>
      <x:c r="B12" t="n">
        <x:v>1.6</x:v>
      </x:c>
      <x:c r="C12" t="str">
        <x:v>%</x:v>
      </x:c>
      <x:c r="D12" t="str">
        <x:v>Most pH recovery is atmospheric CO₂ drawdown.</x:v>
      </x:c>
    </x:row>
    <x:row r="13">
      <x:c r="A13" t="str">
        <x:v>Exact pH 8.10 crossing</x:v>
      </x:c>
      <x:c r="B13" t="n">
        <x:v>2090</x:v>
      </x:c>
      <x:c r="C13" t="str">
        <x:v>DIAGNOSTIC ONLY</x:v>
      </x:c>
      <x:c r="D13" t="str">
        <x:v>Not publication-grade.</x:v>
      </x:c>
    </x:row>
    <x:row r="14">
      <x:c r="A14" t="str">
        <x:v>Exact pH 8.15 crossing</x:v>
      </x:c>
      <x:c r="B14" t="n">
        <x:v>2312</x:v>
      </x:c>
      <x:c r="C14" t="str">
        <x:v>DIAGNOSTIC ONLY</x:v>
      </x:c>
      <x:c r="D14" t="str">
        <x:v>Not publication-grade.</x:v>
      </x:c>
    </x:row>
    <x:row r="15">
      <x:c r="A15" t="str">
        <x:v>Exact pH 8.17 crossing</x:v>
      </x:c>
      <x:c r="B15" t="str">
        <x:v>not by 2400</x:v>
      </x:c>
      <x:c r="C15" t="str">
        <x:v>DIAGNOSTIC ONLY</x:v>
      </x:c>
      <x:c r="D15" t="str">
        <x:v>Not publication-grade.</x:v>
      </x:c>
    </x:row>
    <x:row r="18">
      <x:c r="A18" s="279" t="str">
        <x:v>The inherited chemistry fixes temperature and salinity. Published seawater pH temperature coefficients are of order 0.01–0.015 pH units per °C under oceanographic conditions, large enough that four-decimal pH and exact threshold-crossing years are not defensible here.</x:v>
      </x:c>
      <x:c r="B18" s="279"/>
      <x:c r="C18" s="279"/>
      <x:c r="D18" s="279"/>
      <x:c r="E18" s="279"/>
      <x:c r="F18" s="279"/>
    </x:row>
    <x:row r="19">
      <x:c r="A19" s="279"/>
      <x:c r="B19" s="279"/>
      <x:c r="C19" s="279"/>
      <x:c r="D19" s="279"/>
      <x:c r="E19" s="279"/>
      <x:c r="F19" s="279"/>
    </x:row>
    <x:row r="20">
      <x:c r="A20" s="279"/>
      <x:c r="B20" s="279"/>
      <x:c r="C20" s="279"/>
      <x:c r="D20" s="279"/>
      <x:c r="E20" s="279"/>
      <x:c r="F20" s="279"/>
    </x:row>
    <x:row r="21">
      <x:c r="A21" s="279"/>
      <x:c r="B21" s="279"/>
      <x:c r="C21" s="279"/>
      <x:c r="D21" s="279"/>
      <x:c r="E21" s="279"/>
      <x:c r="F21" s="279"/>
    </x:row>
  </x:sheetData>
  <x:mergeCells>
    <x:mergeCell ref="A1:F1"/>
    <x:mergeCell ref="A3:F5"/>
    <x:mergeCell ref="A18:F21"/>
  </x:mergeCell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5" hidden="0" customWidth="1"/>
    <x:col min="3" max="3" width="56" hidden="0" customWidth="1"/>
    <x:col min="4" max="4" width="46" hidden="0" customWidth="1"/>
  </x:cols>
  <x:sheetData>
    <x:row r="1">
      <x:c r="A1" s="271" t="str">
        <x:v>V59.1 submission critical path and novelty boundary</x:v>
      </x:c>
      <x:c r="B1" s="271"/>
      <x:c r="C1" s="271"/>
      <x:c r="D1" s="271"/>
    </x:row>
    <x:row r="3">
      <x:c r="A3" s="282" t="str">
        <x:v>Item</x:v>
      </x:c>
      <x:c r="B3" s="282" t="str">
        <x:v>Status</x:v>
      </x:c>
      <x:c r="C3" s="282" t="str">
        <x:v>Main-text treatment</x:v>
      </x:c>
      <x:c r="D3" s="282" t="str">
        <x:v>Reason</x:v>
      </x:c>
    </x:row>
    <x:row r="4">
      <x:c r="A4" t="str">
        <x:v>Sink reversal itself</x:v>
      </x:c>
      <x:c r="B4" t="str">
        <x:v>ESTABLISHED LITERATURE</x:v>
      </x:c>
      <x:c r="C4" t="str">
        <x:v>Do not claim novelty</x:v>
      </x:c>
      <x:c r="D4" t="str">
        <x:v>Jones 2016, Zickfeld 2021, IPCC AR6.</x:v>
      </x:c>
    </x:row>
    <x:row r="5">
      <x:c r="A5" t="str">
        <x:v>Pathway-specific response burden</x:v>
      </x:c>
      <x:c r="B5" t="str">
        <x:v>POTENTIALLY NOVEL</x:v>
      </x:c>
      <x:c r="C5" t="str">
        <x:v>Main text</x:v>
      </x:c>
      <x:c r="D5" t="str">
        <x:v>Requires inverse external-model solve.</x:v>
      </x:c>
    </x:row>
    <x:row r="6">
      <x:c r="A6" t="str">
        <x:v>Financeability of inverse burden</x:v>
      </x:c>
      <x:c r="B6" t="str">
        <x:v>POTENTIALLY NOVEL</x:v>
      </x:c>
      <x:c r="C6" t="str">
        <x:v>Main text if quantified</x:v>
      </x:c>
      <x:c r="D6" t="str">
        <x:v>Connects physical external result to financing architecture.</x:v>
      </x:c>
    </x:row>
    <x:row r="7">
      <x:c r="A7" t="str">
        <x:v>Sea-level persistence</x:v>
      </x:c>
      <x:c r="B7" t="str">
        <x:v>ESTABLISHED PHYSICS</x:v>
      </x:c>
      <x:c r="C7" t="str">
        <x:v>Consequence / second panel</x:v>
      </x:c>
      <x:c r="D7" t="str">
        <x:v>Useful corroborating irreversibility, not novelty by itself.</x:v>
      </x:c>
    </x:row>
    <x:row r="8">
      <x:c r="A8" t="str">
        <x:v>Coral / pH / seaweed / fisheries</x:v>
      </x:c>
      <x:c r="B8" t="str">
        <x:v>SUPPLEMENTARY</x:v>
      </x:c>
      <x:c r="C8" t="str">
        <x:v>Move out of main text</x:v>
      </x:c>
      <x:c r="D8" t="str">
        <x:v>Avoid scope expansion before critical path closes.</x:v>
      </x:c>
    </x:row>
    <x:row r="9">
      <x:c r="A9" t="str">
        <x:v>New modules</x:v>
      </x:c>
      <x:c r="B9" t="str">
        <x:v>FROZEN</x:v>
      </x:c>
      <x:c r="C9" t="str">
        <x:v>None</x:v>
      </x:c>
      <x:c r="D9" t="str">
        <x:v>Do not create V60 until external gates close.</x:v>
      </x:c>
    </x:row>
    <x:row r="12">
      <x:c r="A12" s="282" t="str">
        <x:v>Critical path</x:v>
      </x:c>
      <x:c r="B12" s="282" t="str">
        <x:v>Status</x:v>
      </x:c>
      <x:c r="C12" s="282" t="str">
        <x:v>What closes it</x:v>
      </x:c>
      <x:c r="D12" s="282" t="str">
        <x:v>Blocking?</x:v>
      </x:c>
    </x:row>
    <x:row r="13">
      <x:c r="A13" t="str">
        <x:v>FaIR common-state/splice restart</x:v>
      </x:c>
      <x:c r="B13" t="str">
        <x:v>OPEN</x:v>
      </x:c>
      <x:c r="C13" t="str">
        <x:v>Run official FaIR in networked environment</x:v>
      </x:c>
      <x:c r="D13" t="str">
        <x:v>YES</x:v>
      </x:c>
    </x:row>
    <x:row r="14">
      <x:c r="A14" t="str">
        <x:v>FaIR zero-background non-CO₂</x:v>
      </x:c>
      <x:c r="B14" t="str">
        <x:v>OPEN</x:v>
      </x:c>
      <x:c r="C14" t="str">
        <x:v>Controlled external run</x:v>
      </x:c>
      <x:c r="D14" t="str">
        <x:v>YES</x:v>
      </x:c>
    </x:row>
    <x:row r="15">
      <x:c r="A15" t="str">
        <x:v>Inverse FaIR target solve</x:v>
      </x:c>
      <x:c r="B15" t="str">
        <x:v>OPEN</x:v>
      </x:c>
      <x:c r="C15" t="str">
        <x:v>Iterative/optimized removal schedule</x:v>
      </x:c>
      <x:c r="D15" t="str">
        <x:v>YES</x:v>
      </x:c>
    </x:row>
    <x:row r="16">
      <x:c r="A16" t="str">
        <x:v>OSCAR</x:v>
      </x:c>
      <x:c r="B16" t="str">
        <x:v>OPEN</x:v>
      </x:c>
      <x:c r="C16" t="str">
        <x:v>Run OSCAR or formally revise predeclared gate</x:v>
      </x:c>
      <x:c r="D16" t="str">
        <x:v>YES</x:v>
      </x:c>
    </x:row>
    <x:row r="17">
      <x:c r="A17" t="str">
        <x:v>Configuration-level response spread</x:v>
      </x:c>
      <x:c r="B17" t="str">
        <x:v>OPEN</x:v>
      </x:c>
      <x:c r="C17" t="str">
        <x:v>Archive 841 configuration trajectories</x:v>
      </x:c>
      <x:c r="D17" t="str">
        <x:v>Important</x:v>
      </x:c>
    </x:row>
  </x:sheetData>
  <x:mergeCells>
    <x:mergeCell ref="A1:D1"/>
  </x:mergeCells>
  <x:pageMargins left="0.7" right="0.7" top="0.75" bottom="0.75" header="0.3" footer="0.3"/>
</x:worksheet>
</file>